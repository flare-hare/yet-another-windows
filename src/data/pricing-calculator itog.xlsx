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fo" sheetId="1" state="visible" r:id="rId3"/>
    <sheet name="Summary" sheetId="2" state="visible" r:id="rId4"/>
    <sheet name="Profile" sheetId="3" state="visible" r:id="rId5"/>
    <sheet name="Glass" sheetId="4" state="visible" r:id="rId6"/>
    <sheet name="Color" sheetId="5" state="visible" r:id="rId7"/>
    <sheet name="Opening" sheetId="6" state="visible" r:id="rId8"/>
    <sheet name="Hardware" sheetId="7" state="visible" r:id="rId9"/>
    <sheet name="Extra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<sst xmlns="http://schemas.openxmlformats.org/spreadsheetml/2006/main" count="305" uniqueCount="146">
  <si>
    <t xml:space="preserve">Расчёт цен для конструктора «Оконика» — рабочий шаблон</t>
  </si>
  <si>
    <t xml:space="preserve">Как пользоваться:</t>
  </si>
  <si>
    <t xml:space="preserve">1. Открываете ПО производителя. Собираете окна ТОЧНО как указано на каждом листе.</t>
  </si>
  <si>
    <t xml:space="preserve">2. Вписываете полученную цену в ЖЁЛТЫЕ ячейки. Остальное считается само.</t>
  </si>
  <si>
    <t xml:space="preserve">3. Зелёные ячейки — готовые коэффициенты. Переносите их в src/data/windows.json.</t>
  </si>
  <si>
    <t xml:space="preserve">Листы (вкладки внизу):</t>
  </si>
  <si>
    <t xml:space="preserve">• Profile (Профиль) — ставки руб/м² для эконом/стандарт/премиум (7 точек + МНК).</t>
  </si>
  <si>
    <t xml:space="preserve">• Glass (Стеклопакет) — ставки руб/м² для 1-кам/2-кам/2-кам-энерго.</t>
  </si>
  <si>
    <t xml:space="preserve">• Color (Цвет) — множители ламинации.</t>
  </si>
  <si>
    <t xml:space="preserve">• Opening (Открывание) — надбавка за створку.</t>
  </si>
  <si>
    <t xml:space="preserve">• Hardware (Фурнитура) — надбавка за окно.</t>
  </si>
  <si>
    <t xml:space="preserve">• Extras (Допы) — надбавка за штуку.</t>
  </si>
  <si>
    <t xml:space="preserve">• Summary (СВОДКА) — все итоговые числа в одном месте (тянутся с других листов).</t>
  </si>
  <si>
    <t xml:space="preserve">Метод: профиль и стекло считаются за м². Снимаем 7 окон разных размеров,</t>
  </si>
  <si>
    <t xml:space="preserve">программа проводит наилучшую прямую цена = a*площадь + b.</t>
  </si>
  <si>
    <t xml:space="preserve">a = цена за м² (профиль+стекло), b = постоянная часть (basePrice+фурнитура).</t>
  </si>
  <si>
    <t xml:space="preserve">Подробный вывод формул — в файле pricing-guide.md рядом.</t>
  </si>
  <si>
    <t xml:space="preserve">СВОДКА (Summary) — переносите числа в windows.json</t>
  </si>
  <si>
    <t xml:space="preserve">Позиция</t>
  </si>
  <si>
    <t xml:space="preserve">priceType</t>
  </si>
  <si>
    <t xml:space="preserve">Значение (price)</t>
  </si>
  <si>
    <t xml:space="preserve">Формула / источник</t>
  </si>
  <si>
    <t xml:space="preserve">профиль: Эконом</t>
  </si>
  <si>
    <t xml:space="preserve">perM2</t>
  </si>
  <si>
    <t xml:space="preserve">a_эконом − стекло_2кам</t>
  </si>
  <si>
    <t xml:space="preserve">профиль: Стандарт</t>
  </si>
  <si>
    <t xml:space="preserve">a_стандарт − стекло_2кам</t>
  </si>
  <si>
    <t xml:space="preserve">профиль: Премиум</t>
  </si>
  <si>
    <t xml:space="preserve">профиль_станд + (a_прем − a_станд)</t>
  </si>
  <si>
    <t xml:space="preserve">стекло: 1-камерный</t>
  </si>
  <si>
    <t xml:space="preserve">принято за базовое</t>
  </si>
  <si>
    <t xml:space="preserve">стекло: 2-камерный</t>
  </si>
  <si>
    <t xml:space="preserve">a_2кам − a_1кам</t>
  </si>
  <si>
    <t xml:space="preserve">стекло: 2-кам энерго</t>
  </si>
  <si>
    <t xml:space="preserve">a_2кам_э − a_1кам</t>
  </si>
  <si>
    <t xml:space="preserve">цвет: Белый</t>
  </si>
  <si>
    <t xml:space="preserve">multiplier</t>
  </si>
  <si>
    <t xml:space="preserve">эталон = 1</t>
  </si>
  <si>
    <t xml:space="preserve">цвет: Серый</t>
  </si>
  <si>
    <t xml:space="preserve">P_серый/P_белый</t>
  </si>
  <si>
    <t xml:space="preserve">цвет: Золотой дуб</t>
  </si>
  <si>
    <t xml:space="preserve">P_дуб/P_белый</t>
  </si>
  <si>
    <t xml:space="preserve">цвет: Орех</t>
  </si>
  <si>
    <t xml:space="preserve">P_орех/P_белый</t>
  </si>
  <si>
    <t xml:space="preserve">цвет: Антрацит</t>
  </si>
  <si>
    <t xml:space="preserve">P_антрацит/P_белый</t>
  </si>
  <si>
    <t xml:space="preserve">открыв.: Глухое</t>
  </si>
  <si>
    <t xml:space="preserve">fixed</t>
  </si>
  <si>
    <t xml:space="preserve">нет механизма</t>
  </si>
  <si>
    <t xml:space="preserve">открыв.: Откидное</t>
  </si>
  <si>
    <t xml:space="preserve">P_T0 − P_00</t>
  </si>
  <si>
    <t xml:space="preserve">открыв.: Пов-откидное</t>
  </si>
  <si>
    <t xml:space="preserve">P_R0 − P_00</t>
  </si>
  <si>
    <t xml:space="preserve">фурнитура: Базовая</t>
  </si>
  <si>
    <t xml:space="preserve">эталон = 0</t>
  </si>
  <si>
    <t xml:space="preserve">фурнитура: Комфорт</t>
  </si>
  <si>
    <t xml:space="preserve">P_комф − P_баз</t>
  </si>
  <si>
    <t xml:space="preserve">фурнитура: Премиум</t>
  </si>
  <si>
    <t xml:space="preserve">P_прем − P_баз</t>
  </si>
  <si>
    <t xml:space="preserve">доп: Москитка</t>
  </si>
  <si>
    <t xml:space="preserve">P_опц − P_0</t>
  </si>
  <si>
    <t xml:space="preserve">доп: Подоконник+откосы</t>
  </si>
  <si>
    <t xml:space="preserve">доп: Монтаж</t>
  </si>
  <si>
    <t xml:space="preserve">доп: Вывоз</t>
  </si>
  <si>
    <t xml:space="preserve">basePrice: (тип)</t>
  </si>
  <si>
    <t xml:space="preserve">—</t>
  </si>
  <si>
    <t xml:space="preserve">b (пост. часть) эталонной серии; считать на тип</t>
  </si>
  <si>
    <t xml:space="preserve">ПРОФИЛЬ (Profile) — ставки руб/м²</t>
  </si>
  <si>
    <t xml:space="preserve">Соберите 7 окон каждого профиля. Фикс: стекло 2-камерное, цвет белый, всё глухое, фурнитура базовая, без допов. Меняете ТОЛЬКО профиль.</t>
  </si>
  <si>
    <t xml:space="preserve">Серии (впишите цены из ПО в жёлтые ячейки):</t>
  </si>
  <si>
    <t xml:space="preserve">№</t>
  </si>
  <si>
    <t xml:space="preserve">Ширина, см</t>
  </si>
  <si>
    <t xml:space="preserve">Высота, см</t>
  </si>
  <si>
    <t xml:space="preserve">Площадь, м²</t>
  </si>
  <si>
    <t xml:space="preserve">Эконом, руб</t>
  </si>
  <si>
    <t xml:space="preserve">Стандарт, руб</t>
  </si>
  <si>
    <t xml:space="preserve">Премиум, руб</t>
  </si>
  <si>
    <t xml:space="preserve">base</t>
  </si>
  <si>
    <t xml:space="preserve">2 ctekla</t>
  </si>
  <si>
    <t xml:space="preserve">3 ctekla</t>
  </si>
  <si>
    <t xml:space="preserve">energo</t>
  </si>
  <si>
    <t xml:space="preserve">profile m</t>
  </si>
  <si>
    <t xml:space="preserve">a = руб/м² (наклон)</t>
  </si>
  <si>
    <t xml:space="preserve">b = постоянная (руб)</t>
  </si>
  <si>
    <t xml:space="preserve">profile l</t>
  </si>
  <si>
    <t xml:space="preserve">50 50</t>
  </si>
  <si>
    <t xml:space="preserve">60 60</t>
  </si>
  <si>
    <t xml:space="preserve">90 65</t>
  </si>
  <si>
    <t xml:space="preserve">135 65</t>
  </si>
  <si>
    <t xml:space="preserve">otkrivnoe</t>
  </si>
  <si>
    <t xml:space="preserve">furnit s</t>
  </si>
  <si>
    <t xml:space="preserve">furnit l</t>
  </si>
  <si>
    <t xml:space="preserve">proile l</t>
  </si>
  <si>
    <t xml:space="preserve">color</t>
  </si>
  <si>
    <t xml:space="preserve">2 ctvorki base</t>
  </si>
  <si>
    <t xml:space="preserve">2 ctvorki 1 otkriv</t>
  </si>
  <si>
    <t xml:space="preserve">2 ctvorki 2 otkriv</t>
  </si>
  <si>
    <t xml:space="preserve">3 ctvorki base</t>
  </si>
  <si>
    <t xml:space="preserve">3 ctvorki 1 otriv</t>
  </si>
  <si>
    <t xml:space="preserve">3 ctvorki 2 otkriv</t>
  </si>
  <si>
    <t xml:space="preserve">setka</t>
  </si>
  <si>
    <t xml:space="preserve">0.75 min</t>
  </si>
  <si>
    <t xml:space="preserve">otliv</t>
  </si>
  <si>
    <t xml:space="preserve">podokonnik</t>
  </si>
  <si>
    <t xml:space="preserve">СТЕКЛОПАКЕТ (Glass) — ставки руб/м²</t>
  </si>
  <si>
    <t xml:space="preserve">Соберите 7 окон с каждым стеклом. Фикс: профиль Стандарт, цвет белый, всё глухое, фурнитура базовая, без допов. Меняете ТОЛЬКО стекло.</t>
  </si>
  <si>
    <t xml:space="preserve">1-камерный, руб</t>
  </si>
  <si>
    <t xml:space="preserve">2-камерный, руб</t>
  </si>
  <si>
    <t xml:space="preserve">2-кам энерго, руб</t>
  </si>
  <si>
    <t xml:space="preserve">ЦВЕТ (Color) — множитель ламинации</t>
  </si>
  <si>
    <t xml:space="preserve">Одно фикс. окно (напр. 130×140, Стандарт, 2-кам, глухое, базовая, без допов) в каждом цвете. Впишите цену. Для надёжности — 3 разных окна, усредним.</t>
  </si>
  <si>
    <t xml:space="preserve">Цвет</t>
  </si>
  <si>
    <t xml:space="preserve">Окно 1, руб</t>
  </si>
  <si>
    <t xml:space="preserve">Окно 2, руб</t>
  </si>
  <si>
    <t xml:space="preserve">Окно 3, руб</t>
  </si>
  <si>
    <t xml:space="preserve">Множитель</t>
  </si>
  <si>
    <t xml:space="preserve">Белый (эталон)</t>
  </si>
  <si>
    <t xml:space="preserve">Серый</t>
  </si>
  <si>
    <t xml:space="preserve">Золотой дуб</t>
  </si>
  <si>
    <t xml:space="preserve">Орех</t>
  </si>
  <si>
    <t xml:space="preserve">Антрацит</t>
  </si>
  <si>
    <t xml:space="preserve">ОТКРЫВАНИЕ (Opening) — руб за створку</t>
  </si>
  <si>
    <t xml:space="preserve">Двухстворчатое, размер фикс. (напр. 130×140), профиль/стекло/цвет базовые. Впишите цены сборок. Проверьте на 3 размерах — надбавка не должна зависеть от размера.</t>
  </si>
  <si>
    <t xml:space="preserve">Сборка</t>
  </si>
  <si>
    <t xml:space="preserve">Цена из ПО, руб</t>
  </si>
  <si>
    <t xml:space="preserve">Надбавка/створку</t>
  </si>
  <si>
    <t xml:space="preserve">Обе створки ГЛУХИЕ (P_00)</t>
  </si>
  <si>
    <t xml:space="preserve">Одна ОТКИДНАЯ + глухая (P_T0)</t>
  </si>
  <si>
    <t xml:space="preserve">Одна ПОВОРОТНО-ОТКИДНАЯ + глухая (P_R0)</t>
  </si>
  <si>
    <t xml:space="preserve">Обе ПОВОРОТНО-ОТКИДНЫЕ (P_RR) — проверка</t>
  </si>
  <si>
    <t xml:space="preserve">ФУРНИТУРА (Hardware) — руб за окно</t>
  </si>
  <si>
    <t xml:space="preserve">Фикс. окно, меняете только фурнитуру. Базовая = эталон (0).</t>
  </si>
  <si>
    <t xml:space="preserve">Комплект</t>
  </si>
  <si>
    <t xml:space="preserve">Надбавка, руб</t>
  </si>
  <si>
    <t xml:space="preserve">Базовая (эталон)</t>
  </si>
  <si>
    <t xml:space="preserve">Комфорт</t>
  </si>
  <si>
    <t xml:space="preserve">Премиум</t>
  </si>
  <si>
    <t xml:space="preserve">ДОП. ОПЦИИ (Extras) — руб за штуку</t>
  </si>
  <si>
    <t xml:space="preserve">Базовое окно без опций = P_0. Добавляете по ОДНОЙ опции. Монтаж/подоконник проверьте на 2 размерах (могут зависеть от размера).</t>
  </si>
  <si>
    <t xml:space="preserve">Опция</t>
  </si>
  <si>
    <t xml:space="preserve">Цена с опцией, руб</t>
  </si>
  <si>
    <t xml:space="preserve">Базовое окно (P_0)</t>
  </si>
  <si>
    <t xml:space="preserve">Москитная сетка</t>
  </si>
  <si>
    <t xml:space="preserve">Подоконник и откосы</t>
  </si>
  <si>
    <t xml:space="preserve">Монтаж</t>
  </si>
  <si>
    <t xml:space="preserve">Вывоз старого окна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</si>
</sst>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0"/>
    <numFmt numFmtId="167" formatCode="0.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Cambria"/>
      <family val="0"/>
      <charset val="1"/>
    </font>
    <font>
      <b val="true"/>
      <sz val="11"/>
      <color rgb="FF333333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0A6B3B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1F3E8"/>
        <bgColor rgb="FFEDF1F7"/>
      </patternFill>
    </fill>
    <fill>
      <patternFill patternType="solid">
        <fgColor rgb="FFFFF6D6"/>
        <bgColor rgb="FFEDF1F7"/>
      </patternFill>
    </fill>
    <fill>
      <patternFill patternType="solid">
        <fgColor rgb="FFEDF1F7"/>
        <bgColor rgb="FFE1F3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E"/>
      </left>
      <right style="thin">
        <color rgb="FFC9D2DE"/>
      </right>
      <top style="thin">
        <color rgb="FFC9D2DE"/>
      </top>
      <bottom style="thin">
        <color rgb="FFC9D2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A6B3B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6"/>
      <rgbColor rgb="FFE1F3E8"/>
      <rgbColor rgb="FF660066"/>
      <rgbColor rgb="FFFF8080"/>
      <rgbColor rgb="FF0066CC"/>
      <rgbColor rgb="FFC9D2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1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20.8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6.4" hidden="false" customHeight="false" outlineLevel="0" collapsed="false">
      <c r="A3" s="3" t="s">
        <v>1</v>
      </c>
    </row>
    <row r="4" customFormat="false" ht="16.4" hidden="false" customHeight="false" outlineLevel="0" collapsed="false">
      <c r="A4" s="2" t="s">
        <v>2</v>
      </c>
    </row>
    <row r="5" customFormat="false" ht="16.4" hidden="false" customHeight="false" outlineLevel="0" collapsed="false">
      <c r="A5" s="2" t="s">
        <v>3</v>
      </c>
    </row>
    <row r="6" customFormat="false" ht="16.4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6.4" hidden="false" customHeight="false" outlineLevel="0" collapsed="false">
      <c r="A8" s="3" t="s">
        <v>5</v>
      </c>
    </row>
    <row r="9" customFormat="false" ht="16.4" hidden="false" customHeight="false" outlineLevel="0" collapsed="false">
      <c r="A9" s="2" t="s">
        <v>6</v>
      </c>
    </row>
    <row r="10" customFormat="false" ht="16.4" hidden="false" customHeight="false" outlineLevel="0" collapsed="false">
      <c r="A10" s="2" t="s">
        <v>7</v>
      </c>
    </row>
    <row r="11" customFormat="false" ht="16.4" hidden="false" customHeight="false" outlineLevel="0" collapsed="false">
      <c r="A11" s="2" t="s">
        <v>8</v>
      </c>
    </row>
    <row r="12" customFormat="false" ht="16.4" hidden="false" customHeight="false" outlineLevel="0" collapsed="false">
      <c r="A12" s="2" t="s">
        <v>9</v>
      </c>
    </row>
    <row r="13" customFormat="false" ht="16.4" hidden="false" customHeight="false" outlineLevel="0" collapsed="false">
      <c r="A13" s="2" t="s">
        <v>10</v>
      </c>
    </row>
    <row r="14" customFormat="false" ht="16.4" hidden="false" customHeight="false" outlineLevel="0" collapsed="false">
      <c r="A14" s="2" t="s">
        <v>11</v>
      </c>
    </row>
    <row r="15" customFormat="false" ht="16.4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A6B3B"/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5" t="s">
        <v>17</v>
      </c>
      <c r="B1" s="5"/>
      <c r="C1" s="5"/>
      <c r="D1" s="5"/>
    </row>
    <row r="3" customFormat="false" ht="16.4" hidden="false" customHeight="false" outlineLevel="0" collapsed="false">
      <c r="A3" s="6" t="s">
        <v>18</v>
      </c>
      <c r="B3" s="6" t="s">
        <v>19</v>
      </c>
      <c r="C3" s="6" t="s">
        <v>20</v>
      </c>
      <c r="D3" s="6" t="s">
        <v>21</v>
      </c>
    </row>
    <row r="4" customFormat="false" ht="16.4" hidden="false" customHeight="false" outlineLevel="0" collapsed="false">
      <c r="A4" s="7" t="s">
        <v>22</v>
      </c>
      <c r="B4" s="7" t="s">
        <v>23</v>
      </c>
      <c r="C4" s="8" t="e">
        <f aca="false">Profile!E13-(Glass!F13-Glass!E13)</f>
        <v>#VALUE!</v>
      </c>
      <c r="D4" s="9" t="s">
        <v>24</v>
      </c>
    </row>
    <row r="5" customFormat="false" ht="16.4" hidden="false" customHeight="false" outlineLevel="0" collapsed="false">
      <c r="A5" s="7" t="s">
        <v>25</v>
      </c>
      <c r="B5" s="7" t="s">
        <v>23</v>
      </c>
      <c r="C5" s="8" t="e">
        <f aca="false">Profile!F13-(Glass!F13-Glass!E13)</f>
        <v>#VALUE!</v>
      </c>
      <c r="D5" s="9" t="s">
        <v>26</v>
      </c>
    </row>
    <row r="6" customFormat="false" ht="16.4" hidden="false" customHeight="false" outlineLevel="0" collapsed="false">
      <c r="A6" s="7" t="s">
        <v>27</v>
      </c>
      <c r="B6" s="7" t="s">
        <v>23</v>
      </c>
      <c r="C6" s="8" t="e">
        <f aca="false">(Profile!F13-(Glass!F13-Glass!E13))+(Profile!G13-Profile!F13)</f>
        <v>#VALUE!</v>
      </c>
      <c r="D6" s="9" t="s">
        <v>28</v>
      </c>
    </row>
    <row r="7" customFormat="false" ht="16.4" hidden="false" customHeight="false" outlineLevel="0" collapsed="false">
      <c r="A7" s="7" t="s">
        <v>29</v>
      </c>
      <c r="B7" s="7" t="s">
        <v>23</v>
      </c>
      <c r="C7" s="8" t="n">
        <f aca="false">0</f>
        <v>0</v>
      </c>
      <c r="D7" s="9" t="s">
        <v>30</v>
      </c>
    </row>
    <row r="8" customFormat="false" ht="16.4" hidden="false" customHeight="false" outlineLevel="0" collapsed="false">
      <c r="A8" s="7" t="s">
        <v>31</v>
      </c>
      <c r="B8" s="7" t="s">
        <v>23</v>
      </c>
      <c r="C8" s="8" t="e">
        <f aca="false">Glass!F13-Glass!E13</f>
        <v>#VALUE!</v>
      </c>
      <c r="D8" s="9" t="s">
        <v>32</v>
      </c>
    </row>
    <row r="9" customFormat="false" ht="16.4" hidden="false" customHeight="false" outlineLevel="0" collapsed="false">
      <c r="A9" s="7" t="s">
        <v>33</v>
      </c>
      <c r="B9" s="7" t="s">
        <v>23</v>
      </c>
      <c r="C9" s="8" t="e">
        <f aca="false">Glass!G13-Glass!E13</f>
        <v>#VALUE!</v>
      </c>
      <c r="D9" s="9" t="s">
        <v>34</v>
      </c>
    </row>
    <row r="10" customFormat="false" ht="16.4" hidden="false" customHeight="false" outlineLevel="0" collapsed="false">
      <c r="A10" s="7" t="s">
        <v>35</v>
      </c>
      <c r="B10" s="7" t="s">
        <v>36</v>
      </c>
      <c r="C10" s="10" t="n">
        <f aca="false">Color!E5</f>
        <v>1</v>
      </c>
      <c r="D10" s="9" t="s">
        <v>37</v>
      </c>
    </row>
    <row r="11" customFormat="false" ht="16.4" hidden="false" customHeight="false" outlineLevel="0" collapsed="false">
      <c r="A11" s="7" t="s">
        <v>38</v>
      </c>
      <c r="B11" s="7" t="s">
        <v>36</v>
      </c>
      <c r="C11" s="10" t="n">
        <f aca="false">Color!E6</f>
        <v>1</v>
      </c>
      <c r="D11" s="9" t="s">
        <v>39</v>
      </c>
    </row>
    <row r="12" customFormat="false" ht="16.4" hidden="false" customHeight="false" outlineLevel="0" collapsed="false">
      <c r="A12" s="7" t="s">
        <v>40</v>
      </c>
      <c r="B12" s="7" t="s">
        <v>36</v>
      </c>
      <c r="C12" s="10" t="n">
        <f aca="false">Color!E7</f>
        <v>1</v>
      </c>
      <c r="D12" s="9" t="s">
        <v>41</v>
      </c>
    </row>
    <row r="13" customFormat="false" ht="16.4" hidden="false" customHeight="false" outlineLevel="0" collapsed="false">
      <c r="A13" s="7" t="s">
        <v>42</v>
      </c>
      <c r="B13" s="7" t="s">
        <v>36</v>
      </c>
      <c r="C13" s="10" t="n">
        <f aca="false">Color!E8</f>
        <v>1</v>
      </c>
      <c r="D13" s="9" t="s">
        <v>43</v>
      </c>
    </row>
    <row r="14" customFormat="false" ht="16.4" hidden="false" customHeight="false" outlineLevel="0" collapsed="false">
      <c r="A14" s="7" t="s">
        <v>44</v>
      </c>
      <c r="B14" s="7" t="s">
        <v>36</v>
      </c>
      <c r="C14" s="10" t="n">
        <f aca="false">Color!E9</f>
        <v>1</v>
      </c>
      <c r="D14" s="9" t="s">
        <v>45</v>
      </c>
    </row>
    <row r="15" customFormat="false" ht="16.4" hidden="false" customHeight="false" outlineLevel="0" collapsed="false">
      <c r="A15" s="7" t="s">
        <v>46</v>
      </c>
      <c r="B15" s="7" t="s">
        <v>47</v>
      </c>
      <c r="C15" s="8" t="n">
        <f aca="false">0</f>
        <v>0</v>
      </c>
      <c r="D15" s="9" t="s">
        <v>48</v>
      </c>
    </row>
    <row r="16" customFormat="false" ht="16.4" hidden="false" customHeight="false" outlineLevel="0" collapsed="false">
      <c r="A16" s="7" t="s">
        <v>49</v>
      </c>
      <c r="B16" s="7" t="s">
        <v>47</v>
      </c>
      <c r="C16" s="8" t="n">
        <f aca="false">Opening!C6</f>
        <v>0</v>
      </c>
      <c r="D16" s="9" t="s">
        <v>50</v>
      </c>
    </row>
    <row r="17" customFormat="false" ht="16.4" hidden="false" customHeight="false" outlineLevel="0" collapsed="false">
      <c r="A17" s="7" t="s">
        <v>51</v>
      </c>
      <c r="B17" s="7" t="s">
        <v>47</v>
      </c>
      <c r="C17" s="8" t="n">
        <f aca="false">Opening!C7</f>
        <v>0</v>
      </c>
      <c r="D17" s="9" t="s">
        <v>52</v>
      </c>
    </row>
    <row r="18" customFormat="false" ht="16.4" hidden="false" customHeight="false" outlineLevel="0" collapsed="false">
      <c r="A18" s="7" t="s">
        <v>53</v>
      </c>
      <c r="B18" s="7" t="s">
        <v>47</v>
      </c>
      <c r="C18" s="8" t="n">
        <f aca="false">Hardware!C5</f>
        <v>0</v>
      </c>
      <c r="D18" s="9" t="s">
        <v>54</v>
      </c>
    </row>
    <row r="19" customFormat="false" ht="16.4" hidden="false" customHeight="false" outlineLevel="0" collapsed="false">
      <c r="A19" s="7" t="s">
        <v>55</v>
      </c>
      <c r="B19" s="7" t="s">
        <v>47</v>
      </c>
      <c r="C19" s="8" t="n">
        <f aca="false">Hardware!C6</f>
        <v>0</v>
      </c>
      <c r="D19" s="9" t="s">
        <v>56</v>
      </c>
    </row>
    <row r="20" customFormat="false" ht="16.4" hidden="false" customHeight="false" outlineLevel="0" collapsed="false">
      <c r="A20" s="7" t="s">
        <v>57</v>
      </c>
      <c r="B20" s="7" t="s">
        <v>47</v>
      </c>
      <c r="C20" s="8" t="n">
        <f aca="false">Hardware!C7</f>
        <v>0</v>
      </c>
      <c r="D20" s="9" t="s">
        <v>58</v>
      </c>
    </row>
    <row r="21" customFormat="false" ht="16.4" hidden="false" customHeight="false" outlineLevel="0" collapsed="false">
      <c r="A21" s="7" t="s">
        <v>59</v>
      </c>
      <c r="B21" s="7" t="s">
        <v>47</v>
      </c>
      <c r="C21" s="8" t="n">
        <f aca="false">Extras!C6</f>
        <v>0</v>
      </c>
      <c r="D21" s="9" t="s">
        <v>60</v>
      </c>
    </row>
    <row r="22" customFormat="false" ht="16.4" hidden="false" customHeight="false" outlineLevel="0" collapsed="false">
      <c r="A22" s="7" t="s">
        <v>61</v>
      </c>
      <c r="B22" s="7" t="s">
        <v>47</v>
      </c>
      <c r="C22" s="8" t="n">
        <f aca="false">Extras!C7</f>
        <v>0</v>
      </c>
      <c r="D22" s="9" t="s">
        <v>60</v>
      </c>
    </row>
    <row r="23" customFormat="false" ht="16.4" hidden="false" customHeight="false" outlineLevel="0" collapsed="false">
      <c r="A23" s="7" t="s">
        <v>62</v>
      </c>
      <c r="B23" s="7" t="s">
        <v>47</v>
      </c>
      <c r="C23" s="8" t="n">
        <f aca="false">Extras!C8</f>
        <v>0</v>
      </c>
      <c r="D23" s="9" t="s">
        <v>60</v>
      </c>
    </row>
    <row r="24" customFormat="false" ht="16.4" hidden="false" customHeight="false" outlineLevel="0" collapsed="false">
      <c r="A24" s="7" t="s">
        <v>63</v>
      </c>
      <c r="B24" s="7" t="s">
        <v>47</v>
      </c>
      <c r="C24" s="8" t="n">
        <f aca="false">Extras!C9</f>
        <v>0</v>
      </c>
      <c r="D24" s="9" t="s">
        <v>60</v>
      </c>
    </row>
    <row r="25" customFormat="false" ht="16.4" hidden="false" customHeight="false" outlineLevel="0" collapsed="false">
      <c r="A25" s="7" t="s">
        <v>64</v>
      </c>
      <c r="B25" s="7" t="s">
        <v>65</v>
      </c>
      <c r="C25" s="8" t="e">
        <f aca="false">Profile!E14</f>
        <v>#VALUE!</v>
      </c>
      <c r="D25" s="9" t="s">
        <v>66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80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X178" activeCellId="0" sqref="X17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4" min="2" style="0" width="12"/>
    <col collapsed="false" customWidth="true" hidden="false" outlineLevel="0" max="8" min="5" style="0" width="16"/>
    <col collapsed="false" customWidth="true" hidden="false" outlineLevel="0" max="9" min="9" style="0" width="15.72"/>
    <col collapsed="false" customWidth="true" hidden="false" outlineLevel="0" max="13" min="13" style="0" width="15.72"/>
    <col collapsed="false" customWidth="true" hidden="false" outlineLevel="0" max="17" min="17" style="0" width="15.72"/>
  </cols>
  <sheetData>
    <row r="1" customFormat="false" ht="17.35" hidden="false" customHeight="false" outlineLevel="0" collapsed="false">
      <c r="A1" s="11" t="s">
        <v>67</v>
      </c>
    </row>
    <row r="2" customFormat="false" ht="28.35" hidden="false" customHeight="true" outlineLevel="0" collapsed="false">
      <c r="A2" s="12" t="s">
        <v>68</v>
      </c>
      <c r="B2" s="12"/>
      <c r="C2" s="12"/>
      <c r="D2" s="12"/>
      <c r="E2" s="12"/>
      <c r="F2" s="12"/>
      <c r="G2" s="12"/>
      <c r="H2" s="12"/>
    </row>
    <row r="4" customFormat="false" ht="15" hidden="false" customHeight="false" outlineLevel="0" collapsed="false">
      <c r="A4" s="13" t="s">
        <v>69</v>
      </c>
    </row>
    <row r="5" customFormat="false" ht="31.3" hidden="false" customHeight="false" outlineLevel="0" collapsed="false">
      <c r="A5" s="6" t="s">
        <v>70</v>
      </c>
      <c r="B5" s="6" t="s">
        <v>71</v>
      </c>
      <c r="C5" s="6" t="s">
        <v>72</v>
      </c>
      <c r="D5" s="6" t="s">
        <v>73</v>
      </c>
      <c r="E5" s="6" t="s">
        <v>74</v>
      </c>
      <c r="F5" s="6" t="s">
        <v>75</v>
      </c>
      <c r="G5" s="6" t="s">
        <v>76</v>
      </c>
      <c r="I5" s="0" t="s">
        <v>77</v>
      </c>
      <c r="J5" s="0" t="s">
        <v>78</v>
      </c>
      <c r="M5" s="0" t="s">
        <v>77</v>
      </c>
      <c r="N5" s="0" t="s">
        <v>79</v>
      </c>
      <c r="Q5" s="0" t="s">
        <v>77</v>
      </c>
      <c r="R5" s="0" t="s">
        <v>80</v>
      </c>
    </row>
    <row r="6" customFormat="false" ht="16.4" hidden="false" customHeight="false" outlineLevel="0" collapsed="false">
      <c r="A6" s="7" t="n">
        <v>1</v>
      </c>
      <c r="B6" s="7" t="n">
        <v>90</v>
      </c>
      <c r="C6" s="7" t="n">
        <v>90</v>
      </c>
      <c r="D6" s="14" t="n">
        <f aca="false">B6*C6/10000</f>
        <v>0.81</v>
      </c>
      <c r="E6" s="15"/>
      <c r="F6" s="15"/>
      <c r="G6" s="15"/>
      <c r="I6" s="0" t="n">
        <v>100</v>
      </c>
      <c r="J6" s="0" t="n">
        <v>100</v>
      </c>
      <c r="K6" s="0" t="n">
        <v>3850</v>
      </c>
      <c r="M6" s="0" t="n">
        <v>100</v>
      </c>
      <c r="N6" s="0" t="n">
        <v>100</v>
      </c>
      <c r="O6" s="0" t="n">
        <v>4600</v>
      </c>
      <c r="Q6" s="0" t="n">
        <v>100</v>
      </c>
      <c r="R6" s="0" t="n">
        <v>100</v>
      </c>
      <c r="S6" s="0" t="n">
        <v>4900</v>
      </c>
    </row>
    <row r="7" customFormat="false" ht="16.4" hidden="false" customHeight="false" outlineLevel="0" collapsed="false">
      <c r="A7" s="7" t="n">
        <v>2</v>
      </c>
      <c r="B7" s="7" t="n">
        <v>100</v>
      </c>
      <c r="C7" s="7" t="n">
        <v>110</v>
      </c>
      <c r="D7" s="14" t="n">
        <f aca="false">B7*C7/10000</f>
        <v>1.1</v>
      </c>
      <c r="E7" s="15"/>
      <c r="F7" s="15"/>
      <c r="G7" s="15"/>
      <c r="I7" s="0" t="n">
        <v>100</v>
      </c>
      <c r="J7" s="0" t="n">
        <v>200</v>
      </c>
      <c r="K7" s="0" t="n">
        <v>6500</v>
      </c>
      <c r="M7" s="0" t="n">
        <v>100</v>
      </c>
      <c r="N7" s="0" t="n">
        <v>200</v>
      </c>
      <c r="O7" s="0" t="n">
        <v>7900</v>
      </c>
      <c r="Q7" s="0" t="n">
        <v>100</v>
      </c>
      <c r="R7" s="0" t="n">
        <v>200</v>
      </c>
      <c r="S7" s="0" t="n">
        <v>8600</v>
      </c>
    </row>
    <row r="8" customFormat="false" ht="16.4" hidden="false" customHeight="false" outlineLevel="0" collapsed="false">
      <c r="A8" s="7" t="n">
        <v>3</v>
      </c>
      <c r="B8" s="7" t="n">
        <v>120</v>
      </c>
      <c r="C8" s="7" t="n">
        <v>120</v>
      </c>
      <c r="D8" s="14" t="n">
        <f aca="false">B8*C8/10000</f>
        <v>1.44</v>
      </c>
      <c r="E8" s="15"/>
      <c r="F8" s="15"/>
      <c r="G8" s="15"/>
      <c r="I8" s="0" t="n">
        <v>150</v>
      </c>
      <c r="J8" s="0" t="n">
        <v>200</v>
      </c>
      <c r="K8" s="0" t="n">
        <v>10900</v>
      </c>
      <c r="M8" s="0" t="n">
        <v>120</v>
      </c>
      <c r="N8" s="0" t="n">
        <v>190</v>
      </c>
      <c r="O8" s="0" t="n">
        <v>8700</v>
      </c>
      <c r="Q8" s="0" t="n">
        <v>120</v>
      </c>
      <c r="R8" s="0" t="n">
        <v>190</v>
      </c>
      <c r="S8" s="0" t="n">
        <v>9500</v>
      </c>
    </row>
    <row r="9" customFormat="false" ht="16.4" hidden="false" customHeight="false" outlineLevel="0" collapsed="false">
      <c r="A9" s="7" t="n">
        <v>4</v>
      </c>
      <c r="B9" s="7" t="n">
        <v>130</v>
      </c>
      <c r="C9" s="7" t="n">
        <v>140</v>
      </c>
      <c r="D9" s="14" t="n">
        <f aca="false">B9*C9/10000</f>
        <v>1.82</v>
      </c>
      <c r="E9" s="15"/>
      <c r="F9" s="15"/>
      <c r="G9" s="15"/>
    </row>
    <row r="10" customFormat="false" ht="16.4" hidden="false" customHeight="false" outlineLevel="0" collapsed="false">
      <c r="A10" s="7" t="n">
        <v>5</v>
      </c>
      <c r="B10" s="7" t="n">
        <v>150</v>
      </c>
      <c r="C10" s="7" t="n">
        <v>150</v>
      </c>
      <c r="D10" s="14" t="n">
        <f aca="false">B10*C10/10000</f>
        <v>2.25</v>
      </c>
      <c r="E10" s="15"/>
      <c r="F10" s="15"/>
      <c r="G10" s="15"/>
      <c r="I10" s="0" t="s">
        <v>81</v>
      </c>
      <c r="J10" s="0" t="s">
        <v>78</v>
      </c>
      <c r="M10" s="0" t="s">
        <v>81</v>
      </c>
      <c r="N10" s="0" t="s">
        <v>79</v>
      </c>
      <c r="Q10" s="0" t="s">
        <v>81</v>
      </c>
      <c r="R10" s="0" t="s">
        <v>80</v>
      </c>
    </row>
    <row r="11" customFormat="false" ht="16.4" hidden="false" customHeight="false" outlineLevel="0" collapsed="false">
      <c r="A11" s="7" t="n">
        <v>6</v>
      </c>
      <c r="B11" s="7" t="n">
        <v>170</v>
      </c>
      <c r="C11" s="7" t="n">
        <v>160</v>
      </c>
      <c r="D11" s="14" t="n">
        <f aca="false">B11*C11/10000</f>
        <v>2.72</v>
      </c>
      <c r="E11" s="15"/>
      <c r="F11" s="15"/>
      <c r="G11" s="15"/>
      <c r="I11" s="0" t="n">
        <v>100</v>
      </c>
      <c r="J11" s="0" t="n">
        <v>100</v>
      </c>
      <c r="K11" s="0" t="n">
        <v>4400</v>
      </c>
      <c r="M11" s="0" t="n">
        <v>100</v>
      </c>
      <c r="N11" s="0" t="n">
        <v>100</v>
      </c>
      <c r="O11" s="0" t="n">
        <v>5000</v>
      </c>
      <c r="Q11" s="0" t="n">
        <v>100</v>
      </c>
      <c r="R11" s="0" t="n">
        <v>100</v>
      </c>
      <c r="S11" s="0" t="n">
        <v>5300</v>
      </c>
    </row>
    <row r="12" customFormat="false" ht="16.4" hidden="false" customHeight="false" outlineLevel="0" collapsed="false">
      <c r="A12" s="7" t="n">
        <v>7</v>
      </c>
      <c r="B12" s="7" t="n">
        <v>200</v>
      </c>
      <c r="C12" s="7" t="n">
        <v>150</v>
      </c>
      <c r="D12" s="14" t="n">
        <f aca="false">B12*C12/10000</f>
        <v>3</v>
      </c>
      <c r="E12" s="15"/>
      <c r="F12" s="15"/>
      <c r="G12" s="15"/>
      <c r="I12" s="0" t="n">
        <v>100</v>
      </c>
      <c r="J12" s="0" t="n">
        <v>200</v>
      </c>
      <c r="K12" s="0" t="n">
        <v>7300</v>
      </c>
      <c r="M12" s="0" t="n">
        <v>100</v>
      </c>
      <c r="N12" s="0" t="n">
        <v>200</v>
      </c>
      <c r="O12" s="0" t="n">
        <v>8600</v>
      </c>
      <c r="Q12" s="0" t="n">
        <v>100</v>
      </c>
      <c r="R12" s="0" t="n">
        <v>200</v>
      </c>
      <c r="S12" s="0" t="n">
        <v>9200</v>
      </c>
    </row>
    <row r="13" customFormat="false" ht="31.3" hidden="false" customHeight="false" outlineLevel="0" collapsed="false">
      <c r="A13" s="7"/>
      <c r="B13" s="7"/>
      <c r="C13" s="7"/>
      <c r="D13" s="16" t="s">
        <v>82</v>
      </c>
      <c r="E13" s="8" t="e">
        <f aca="false">SLOPE($E$6:$E$12,$D$6:$D$12)</f>
        <v>#VALUE!</v>
      </c>
      <c r="F13" s="8" t="e">
        <f aca="false">SLOPE($F$6:$F$12,$D$6:$D$12)</f>
        <v>#VALUE!</v>
      </c>
      <c r="G13" s="8" t="e">
        <f aca="false">SLOPE($G$6:$G$12,$D$6:$D$12)</f>
        <v>#VALUE!</v>
      </c>
      <c r="I13" s="0" t="n">
        <v>150</v>
      </c>
      <c r="J13" s="0" t="n">
        <v>200</v>
      </c>
      <c r="K13" s="0" t="n">
        <v>12000</v>
      </c>
      <c r="M13" s="0" t="n">
        <v>130</v>
      </c>
      <c r="N13" s="0" t="n">
        <v>190</v>
      </c>
      <c r="O13" s="0" t="n">
        <v>12000</v>
      </c>
      <c r="Q13" s="0" t="n">
        <v>130</v>
      </c>
      <c r="R13" s="0" t="n">
        <v>190</v>
      </c>
      <c r="S13" s="0" t="n">
        <v>12800</v>
      </c>
    </row>
    <row r="14" customFormat="false" ht="46.25" hidden="false" customHeight="false" outlineLevel="0" collapsed="false">
      <c r="A14" s="7"/>
      <c r="B14" s="7"/>
      <c r="C14" s="7"/>
      <c r="D14" s="16" t="s">
        <v>83</v>
      </c>
      <c r="E14" s="8" t="e">
        <f aca="false">INTERCEPT($E$6:$E$12,$D$6:$D$12)</f>
        <v>#VALUE!</v>
      </c>
      <c r="F14" s="8" t="e">
        <f aca="false">INTERCEPT($F$6:$F$12,$D$6:$D$12)</f>
        <v>#VALUE!</v>
      </c>
      <c r="G14" s="8" t="e">
        <f aca="false">INTERCEPT($G$6:$G$12,$D$6:$D$12)</f>
        <v>#VALUE!</v>
      </c>
    </row>
    <row r="15" customFormat="false" ht="15" hidden="false" customHeight="false" outlineLevel="0" collapsed="false">
      <c r="M15" s="0" t="s">
        <v>84</v>
      </c>
      <c r="N15" s="0" t="s">
        <v>79</v>
      </c>
      <c r="Q15" s="0" t="s">
        <v>84</v>
      </c>
      <c r="R15" s="0" t="s">
        <v>80</v>
      </c>
    </row>
    <row r="16" customFormat="false" ht="15" hidden="false" customHeight="false" outlineLevel="0" collapsed="false">
      <c r="M16" s="0" t="n">
        <v>100</v>
      </c>
      <c r="N16" s="0" t="n">
        <v>100</v>
      </c>
      <c r="O16" s="0" t="n">
        <v>6500</v>
      </c>
      <c r="Q16" s="0" t="n">
        <v>100</v>
      </c>
      <c r="R16" s="0" t="n">
        <v>100</v>
      </c>
      <c r="S16" s="0" t="n">
        <v>7000</v>
      </c>
    </row>
    <row r="17" customFormat="false" ht="15" hidden="false" customHeight="false" outlineLevel="0" collapsed="false">
      <c r="M17" s="0" t="n">
        <v>100</v>
      </c>
      <c r="N17" s="0" t="n">
        <v>200</v>
      </c>
      <c r="O17" s="0" t="n">
        <v>10500</v>
      </c>
      <c r="Q17" s="0" t="n">
        <v>100</v>
      </c>
      <c r="R17" s="0" t="n">
        <v>200</v>
      </c>
      <c r="S17" s="0" t="n">
        <v>11800</v>
      </c>
    </row>
    <row r="18" customFormat="false" ht="15" hidden="false" customHeight="false" outlineLevel="0" collapsed="false">
      <c r="C18" s="0" t="n">
        <v>1</v>
      </c>
      <c r="D18" s="0" t="s">
        <v>85</v>
      </c>
      <c r="E18" s="0" t="s">
        <v>86</v>
      </c>
      <c r="F18" s="0" t="n">
        <v>100200</v>
      </c>
      <c r="M18" s="0" t="n">
        <v>150</v>
      </c>
      <c r="N18" s="0" t="n">
        <v>200</v>
      </c>
      <c r="O18" s="0" t="n">
        <v>16500</v>
      </c>
      <c r="Q18" s="0" t="n">
        <v>150</v>
      </c>
      <c r="R18" s="0" t="n">
        <v>200</v>
      </c>
      <c r="S18" s="0" t="n">
        <v>18500</v>
      </c>
    </row>
    <row r="19" customFormat="false" ht="15" hidden="false" customHeight="false" outlineLevel="0" collapsed="false">
      <c r="C19" s="0" t="n">
        <v>2</v>
      </c>
      <c r="E19" s="0" t="s">
        <v>87</v>
      </c>
      <c r="F19" s="0" t="n">
        <v>200200</v>
      </c>
    </row>
    <row r="20" customFormat="false" ht="15" hidden="false" customHeight="false" outlineLevel="0" collapsed="false">
      <c r="C20" s="0" t="n">
        <v>3</v>
      </c>
      <c r="E20" s="0" t="s">
        <v>88</v>
      </c>
      <c r="F20" s="0" t="n">
        <v>250180</v>
      </c>
      <c r="I20" s="0" t="s">
        <v>89</v>
      </c>
      <c r="J20" s="0" t="s">
        <v>78</v>
      </c>
      <c r="K20" s="0" t="s">
        <v>90</v>
      </c>
      <c r="M20" s="0" t="s">
        <v>89</v>
      </c>
      <c r="N20" s="0" t="s">
        <v>79</v>
      </c>
      <c r="O20" s="0" t="s">
        <v>90</v>
      </c>
      <c r="Q20" s="0" t="s">
        <v>89</v>
      </c>
      <c r="R20" s="0" t="s">
        <v>80</v>
      </c>
      <c r="S20" s="0" t="s">
        <v>90</v>
      </c>
    </row>
    <row r="21" customFormat="false" ht="15" hidden="false" customHeight="false" outlineLevel="0" collapsed="false">
      <c r="I21" s="0" t="n">
        <v>100</v>
      </c>
      <c r="J21" s="0" t="n">
        <v>100</v>
      </c>
      <c r="K21" s="0" t="n">
        <v>8600</v>
      </c>
      <c r="M21" s="0" t="n">
        <v>100</v>
      </c>
      <c r="N21" s="0" t="n">
        <v>100</v>
      </c>
      <c r="O21" s="0" t="n">
        <v>9300</v>
      </c>
      <c r="Q21" s="0" t="n">
        <v>100</v>
      </c>
      <c r="R21" s="0" t="n">
        <v>100</v>
      </c>
      <c r="S21" s="0" t="n">
        <v>9500</v>
      </c>
    </row>
    <row r="22" customFormat="false" ht="15" hidden="false" customHeight="false" outlineLevel="0" collapsed="false">
      <c r="I22" s="0" t="n">
        <v>100</v>
      </c>
      <c r="J22" s="0" t="n">
        <v>200</v>
      </c>
      <c r="K22" s="0" t="n">
        <v>13000</v>
      </c>
      <c r="M22" s="0" t="n">
        <v>100</v>
      </c>
      <c r="N22" s="0" t="n">
        <v>200</v>
      </c>
      <c r="O22" s="0" t="n">
        <v>14200</v>
      </c>
      <c r="Q22" s="0" t="n">
        <v>100</v>
      </c>
      <c r="R22" s="0" t="n">
        <v>200</v>
      </c>
      <c r="S22" s="0" t="n">
        <v>14800</v>
      </c>
    </row>
    <row r="23" customFormat="false" ht="15" hidden="false" customHeight="false" outlineLevel="0" collapsed="false">
      <c r="I23" s="0" t="n">
        <v>120</v>
      </c>
      <c r="J23" s="0" t="n">
        <v>200</v>
      </c>
      <c r="K23" s="0" t="n">
        <v>14000</v>
      </c>
      <c r="M23" s="0" t="n">
        <v>120</v>
      </c>
      <c r="N23" s="0" t="n">
        <v>200</v>
      </c>
      <c r="O23" s="0" t="n">
        <v>15500</v>
      </c>
      <c r="Q23" s="0" t="n">
        <v>120</v>
      </c>
      <c r="R23" s="0" t="n">
        <v>200</v>
      </c>
      <c r="S23" s="0" t="n">
        <v>16200</v>
      </c>
    </row>
    <row r="25" customFormat="false" ht="15" hidden="false" customHeight="false" outlineLevel="0" collapsed="false">
      <c r="M25" s="0" t="s">
        <v>81</v>
      </c>
      <c r="N25" s="0" t="s">
        <v>79</v>
      </c>
      <c r="O25" s="0" t="s">
        <v>90</v>
      </c>
      <c r="Q25" s="0" t="s">
        <v>81</v>
      </c>
      <c r="R25" s="0" t="s">
        <v>80</v>
      </c>
      <c r="S25" s="0" t="s">
        <v>90</v>
      </c>
    </row>
    <row r="26" customFormat="false" ht="15" hidden="false" customHeight="false" outlineLevel="0" collapsed="false">
      <c r="M26" s="0" t="n">
        <v>100</v>
      </c>
      <c r="N26" s="0" t="n">
        <v>100</v>
      </c>
      <c r="O26" s="0" t="n">
        <v>10100</v>
      </c>
      <c r="Q26" s="0" t="n">
        <v>100</v>
      </c>
      <c r="R26" s="0" t="n">
        <v>100</v>
      </c>
      <c r="S26" s="0" t="n">
        <v>10400</v>
      </c>
    </row>
    <row r="27" customFormat="false" ht="15" hidden="false" customHeight="false" outlineLevel="0" collapsed="false">
      <c r="M27" s="0" t="n">
        <v>100</v>
      </c>
      <c r="N27" s="0" t="n">
        <v>200</v>
      </c>
      <c r="O27" s="0" t="n">
        <v>15500</v>
      </c>
      <c r="Q27" s="0" t="n">
        <v>100</v>
      </c>
      <c r="R27" s="0" t="n">
        <v>200</v>
      </c>
      <c r="S27" s="0" t="n">
        <v>16000</v>
      </c>
    </row>
    <row r="28" customFormat="false" ht="15" hidden="false" customHeight="false" outlineLevel="0" collapsed="false">
      <c r="M28" s="0" t="n">
        <v>120</v>
      </c>
      <c r="N28" s="0" t="n">
        <v>200</v>
      </c>
      <c r="O28" s="0" t="n">
        <v>16900</v>
      </c>
      <c r="Q28" s="0" t="n">
        <v>120</v>
      </c>
      <c r="R28" s="0" t="n">
        <v>200</v>
      </c>
      <c r="S28" s="0" t="n">
        <v>17600</v>
      </c>
    </row>
    <row r="30" customFormat="false" ht="15" hidden="false" customHeight="false" outlineLevel="0" collapsed="false">
      <c r="Q30" s="0" t="s">
        <v>81</v>
      </c>
      <c r="R30" s="0" t="s">
        <v>80</v>
      </c>
      <c r="S30" s="0" t="s">
        <v>91</v>
      </c>
    </row>
    <row r="31" customFormat="false" ht="15" hidden="false" customHeight="false" outlineLevel="0" collapsed="false">
      <c r="Q31" s="0" t="n">
        <v>100</v>
      </c>
      <c r="R31" s="0" t="n">
        <v>100</v>
      </c>
      <c r="S31" s="0" t="n">
        <v>11300</v>
      </c>
    </row>
    <row r="32" customFormat="false" ht="15" hidden="false" customHeight="false" outlineLevel="0" collapsed="false">
      <c r="Q32" s="0" t="n">
        <v>100</v>
      </c>
      <c r="R32" s="0" t="n">
        <v>200</v>
      </c>
      <c r="S32" s="0" t="n">
        <v>17700</v>
      </c>
    </row>
    <row r="33" customFormat="false" ht="15" hidden="false" customHeight="false" outlineLevel="0" collapsed="false">
      <c r="Q33" s="0" t="n">
        <v>130</v>
      </c>
      <c r="R33" s="0" t="n">
        <v>200</v>
      </c>
      <c r="S33" s="0" t="n">
        <v>20300</v>
      </c>
    </row>
    <row r="35" customFormat="false" ht="15" hidden="false" customHeight="false" outlineLevel="0" collapsed="false">
      <c r="Q35" s="0" t="s">
        <v>92</v>
      </c>
      <c r="R35" s="0" t="s">
        <v>80</v>
      </c>
      <c r="S35" s="0" t="s">
        <v>91</v>
      </c>
      <c r="T35" s="0" t="s">
        <v>93</v>
      </c>
    </row>
    <row r="36" customFormat="false" ht="15" hidden="false" customHeight="false" outlineLevel="0" collapsed="false">
      <c r="Q36" s="0" t="n">
        <v>100</v>
      </c>
      <c r="R36" s="0" t="n">
        <v>100</v>
      </c>
      <c r="S36" s="0" t="n">
        <v>13600</v>
      </c>
      <c r="T36" s="0" t="n">
        <v>23500</v>
      </c>
    </row>
    <row r="37" customFormat="false" ht="15" hidden="false" customHeight="false" outlineLevel="0" collapsed="false">
      <c r="Q37" s="0" t="n">
        <v>100</v>
      </c>
      <c r="R37" s="0" t="n">
        <v>200</v>
      </c>
      <c r="S37" s="0" t="n">
        <v>21100</v>
      </c>
    </row>
    <row r="38" customFormat="false" ht="15" hidden="false" customHeight="false" outlineLevel="0" collapsed="false">
      <c r="Q38" s="0" t="n">
        <v>130</v>
      </c>
      <c r="R38" s="0" t="n">
        <v>200</v>
      </c>
      <c r="S38" s="0" t="n">
        <v>24300</v>
      </c>
    </row>
    <row r="40" customFormat="false" ht="15" hidden="false" customHeight="false" outlineLevel="0" collapsed="false">
      <c r="I40" s="0" t="s">
        <v>94</v>
      </c>
      <c r="J40" s="0" t="s">
        <v>78</v>
      </c>
      <c r="M40" s="0" t="s">
        <v>94</v>
      </c>
      <c r="N40" s="0" t="s">
        <v>79</v>
      </c>
      <c r="Q40" s="0" t="s">
        <v>94</v>
      </c>
      <c r="R40" s="0" t="s">
        <v>80</v>
      </c>
    </row>
    <row r="41" customFormat="false" ht="15" hidden="false" customHeight="false" outlineLevel="0" collapsed="false">
      <c r="I41" s="0" t="n">
        <v>100</v>
      </c>
      <c r="J41" s="0" t="n">
        <v>100</v>
      </c>
      <c r="K41" s="0" t="n">
        <v>5000</v>
      </c>
      <c r="M41" s="0" t="n">
        <v>100</v>
      </c>
      <c r="N41" s="0" t="n">
        <v>100</v>
      </c>
      <c r="O41" s="0" t="n">
        <v>5900</v>
      </c>
      <c r="Q41" s="0" t="n">
        <v>100</v>
      </c>
      <c r="R41" s="0" t="n">
        <v>100</v>
      </c>
      <c r="S41" s="0" t="n">
        <v>6200</v>
      </c>
    </row>
    <row r="42" customFormat="false" ht="15" hidden="false" customHeight="false" outlineLevel="0" collapsed="false">
      <c r="I42" s="0" t="n">
        <v>100</v>
      </c>
      <c r="J42" s="0" t="n">
        <v>200</v>
      </c>
      <c r="K42" s="0" t="n">
        <v>8300</v>
      </c>
      <c r="M42" s="0" t="n">
        <v>100</v>
      </c>
      <c r="N42" s="0" t="n">
        <v>200</v>
      </c>
      <c r="O42" s="0" t="n">
        <v>9800</v>
      </c>
      <c r="Q42" s="0" t="n">
        <v>100</v>
      </c>
      <c r="R42" s="0" t="n">
        <v>200</v>
      </c>
      <c r="S42" s="0" t="n">
        <v>10400</v>
      </c>
    </row>
    <row r="43" customFormat="false" ht="15" hidden="false" customHeight="false" outlineLevel="0" collapsed="false">
      <c r="I43" s="0" t="n">
        <v>150</v>
      </c>
      <c r="J43" s="0" t="n">
        <v>200</v>
      </c>
      <c r="K43" s="0" t="n">
        <v>10400</v>
      </c>
      <c r="M43" s="0" t="n">
        <v>150</v>
      </c>
      <c r="N43" s="0" t="n">
        <v>200</v>
      </c>
      <c r="O43" s="0" t="n">
        <v>12700</v>
      </c>
      <c r="Q43" s="0" t="n">
        <v>150</v>
      </c>
      <c r="R43" s="0" t="n">
        <v>200</v>
      </c>
      <c r="S43" s="0" t="n">
        <v>13600</v>
      </c>
    </row>
    <row r="44" customFormat="false" ht="15" hidden="false" customHeight="false" outlineLevel="0" collapsed="false">
      <c r="I44" s="0" t="n">
        <v>200</v>
      </c>
      <c r="J44" s="0" t="n">
        <v>150</v>
      </c>
      <c r="K44" s="0" t="n">
        <v>10000</v>
      </c>
      <c r="M44" s="0" t="n">
        <v>200</v>
      </c>
      <c r="N44" s="0" t="n">
        <v>150</v>
      </c>
      <c r="O44" s="0" t="n">
        <v>12200</v>
      </c>
      <c r="Q44" s="0" t="n">
        <v>200</v>
      </c>
      <c r="R44" s="0" t="n">
        <v>150</v>
      </c>
      <c r="S44" s="0" t="n">
        <v>13200</v>
      </c>
    </row>
    <row r="46" customFormat="false" ht="15" hidden="false" customHeight="false" outlineLevel="0" collapsed="false">
      <c r="M46" s="0" t="s">
        <v>81</v>
      </c>
      <c r="N46" s="0" t="s">
        <v>79</v>
      </c>
      <c r="Q46" s="0" t="s">
        <v>81</v>
      </c>
      <c r="R46" s="0" t="s">
        <v>80</v>
      </c>
    </row>
    <row r="47" customFormat="false" ht="15" hidden="false" customHeight="false" outlineLevel="0" collapsed="false">
      <c r="M47" s="0" t="n">
        <v>100</v>
      </c>
      <c r="N47" s="0" t="n">
        <v>100</v>
      </c>
      <c r="O47" s="0" t="n">
        <v>6400</v>
      </c>
      <c r="Q47" s="0" t="n">
        <v>100</v>
      </c>
      <c r="R47" s="0" t="n">
        <v>100</v>
      </c>
      <c r="S47" s="0" t="n">
        <v>6700</v>
      </c>
    </row>
    <row r="48" customFormat="false" ht="15" hidden="false" customHeight="false" outlineLevel="0" collapsed="false">
      <c r="M48" s="0" t="n">
        <v>100</v>
      </c>
      <c r="N48" s="0" t="n">
        <v>200</v>
      </c>
      <c r="O48" s="0" t="n">
        <v>10600</v>
      </c>
      <c r="Q48" s="0" t="n">
        <v>100</v>
      </c>
      <c r="R48" s="0" t="n">
        <v>200</v>
      </c>
      <c r="S48" s="0" t="n">
        <v>11200</v>
      </c>
    </row>
    <row r="49" customFormat="false" ht="15" hidden="false" customHeight="false" outlineLevel="0" collapsed="false">
      <c r="M49" s="0" t="n">
        <v>150</v>
      </c>
      <c r="N49" s="0" t="n">
        <v>200</v>
      </c>
      <c r="O49" s="0" t="n">
        <v>13600</v>
      </c>
      <c r="Q49" s="0" t="n">
        <v>150</v>
      </c>
      <c r="R49" s="0" t="n">
        <v>200</v>
      </c>
      <c r="S49" s="0" t="n">
        <v>14600</v>
      </c>
    </row>
    <row r="50" customFormat="false" ht="15" hidden="false" customHeight="false" outlineLevel="0" collapsed="false">
      <c r="M50" s="0" t="n">
        <v>200</v>
      </c>
      <c r="N50" s="0" t="n">
        <v>150</v>
      </c>
      <c r="O50" s="0" t="n">
        <v>13100</v>
      </c>
      <c r="Q50" s="0" t="n">
        <v>200</v>
      </c>
      <c r="R50" s="0" t="n">
        <v>150</v>
      </c>
      <c r="S50" s="0" t="n">
        <v>14100</v>
      </c>
    </row>
    <row r="52" customFormat="false" ht="15" hidden="false" customHeight="false" outlineLevel="0" collapsed="false">
      <c r="Q52" s="0" t="s">
        <v>84</v>
      </c>
      <c r="R52" s="0" t="s">
        <v>80</v>
      </c>
    </row>
    <row r="53" customFormat="false" ht="15" hidden="false" customHeight="false" outlineLevel="0" collapsed="false">
      <c r="Q53" s="0" t="n">
        <v>100</v>
      </c>
      <c r="R53" s="0" t="n">
        <v>100</v>
      </c>
      <c r="S53" s="0" t="n">
        <v>9000</v>
      </c>
    </row>
    <row r="54" customFormat="false" ht="15" hidden="false" customHeight="false" outlineLevel="0" collapsed="false">
      <c r="Q54" s="0" t="n">
        <v>100</v>
      </c>
      <c r="R54" s="0" t="n">
        <v>200</v>
      </c>
      <c r="S54" s="0" t="n">
        <v>14800</v>
      </c>
    </row>
    <row r="55" customFormat="false" ht="15" hidden="false" customHeight="false" outlineLevel="0" collapsed="false">
      <c r="Q55" s="0" t="n">
        <v>150</v>
      </c>
      <c r="R55" s="0" t="n">
        <v>200</v>
      </c>
      <c r="S55" s="0" t="n">
        <v>18900</v>
      </c>
    </row>
    <row r="56" customFormat="false" ht="15" hidden="false" customHeight="false" outlineLevel="0" collapsed="false">
      <c r="Q56" s="0" t="n">
        <v>200</v>
      </c>
      <c r="R56" s="0" t="n">
        <v>150</v>
      </c>
      <c r="S56" s="0" t="n">
        <v>18500</v>
      </c>
    </row>
    <row r="58" customFormat="false" ht="15" hidden="false" customHeight="false" outlineLevel="0" collapsed="false">
      <c r="I58" s="0" t="s">
        <v>95</v>
      </c>
      <c r="J58" s="0" t="s">
        <v>78</v>
      </c>
      <c r="K58" s="0" t="s">
        <v>90</v>
      </c>
      <c r="M58" s="0" t="s">
        <v>95</v>
      </c>
      <c r="N58" s="0" t="s">
        <v>79</v>
      </c>
      <c r="O58" s="0" t="s">
        <v>90</v>
      </c>
      <c r="Q58" s="0" t="s">
        <v>95</v>
      </c>
      <c r="R58" s="0" t="s">
        <v>80</v>
      </c>
      <c r="S58" s="0" t="s">
        <v>90</v>
      </c>
    </row>
    <row r="59" customFormat="false" ht="15" hidden="false" customHeight="false" outlineLevel="0" collapsed="false">
      <c r="I59" s="0" t="n">
        <v>100</v>
      </c>
      <c r="J59" s="0" t="n">
        <v>100</v>
      </c>
      <c r="K59" s="0" t="n">
        <v>8500</v>
      </c>
      <c r="M59" s="0" t="n">
        <v>100</v>
      </c>
      <c r="N59" s="0" t="n">
        <v>100</v>
      </c>
      <c r="O59" s="0" t="n">
        <v>9300</v>
      </c>
      <c r="Q59" s="0" t="n">
        <v>100</v>
      </c>
      <c r="R59" s="0" t="n">
        <v>100</v>
      </c>
      <c r="S59" s="0" t="n">
        <v>9500</v>
      </c>
    </row>
    <row r="60" customFormat="false" ht="15" hidden="false" customHeight="false" outlineLevel="0" collapsed="false">
      <c r="I60" s="0" t="n">
        <v>100</v>
      </c>
      <c r="J60" s="0" t="n">
        <v>200</v>
      </c>
      <c r="K60" s="0" t="n">
        <v>13500</v>
      </c>
      <c r="M60" s="0" t="n">
        <v>100</v>
      </c>
      <c r="N60" s="0" t="n">
        <v>200</v>
      </c>
      <c r="O60" s="0" t="n">
        <v>14800</v>
      </c>
      <c r="Q60" s="0" t="n">
        <v>100</v>
      </c>
      <c r="R60" s="0" t="n">
        <v>200</v>
      </c>
      <c r="S60" s="0" t="n">
        <v>15400</v>
      </c>
    </row>
    <row r="61" customFormat="false" ht="15" hidden="false" customHeight="false" outlineLevel="0" collapsed="false">
      <c r="I61" s="0" t="n">
        <v>150</v>
      </c>
      <c r="J61" s="0" t="n">
        <v>200</v>
      </c>
      <c r="K61" s="0" t="n">
        <v>16400</v>
      </c>
      <c r="M61" s="0" t="n">
        <v>150</v>
      </c>
      <c r="N61" s="0" t="n">
        <v>200</v>
      </c>
      <c r="O61" s="0" t="n">
        <v>18500</v>
      </c>
      <c r="Q61" s="0" t="n">
        <v>150</v>
      </c>
      <c r="R61" s="0" t="n">
        <v>200</v>
      </c>
      <c r="S61" s="0" t="n">
        <v>19300</v>
      </c>
    </row>
    <row r="62" customFormat="false" ht="15" hidden="false" customHeight="false" outlineLevel="0" collapsed="false">
      <c r="I62" s="0" t="n">
        <v>200</v>
      </c>
      <c r="J62" s="0" t="n">
        <v>150</v>
      </c>
      <c r="K62" s="0" t="n">
        <v>15400</v>
      </c>
      <c r="M62" s="0" t="n">
        <v>200</v>
      </c>
      <c r="N62" s="0" t="n">
        <v>150</v>
      </c>
      <c r="O62" s="0" t="n">
        <v>17500</v>
      </c>
      <c r="Q62" s="0" t="n">
        <v>200</v>
      </c>
      <c r="R62" s="0" t="n">
        <v>150</v>
      </c>
      <c r="S62" s="0" t="n">
        <v>18400</v>
      </c>
    </row>
    <row r="64" customFormat="false" ht="15" hidden="false" customHeight="false" outlineLevel="0" collapsed="false">
      <c r="M64" s="0" t="s">
        <v>81</v>
      </c>
      <c r="N64" s="0" t="s">
        <v>79</v>
      </c>
      <c r="O64" s="0" t="s">
        <v>90</v>
      </c>
      <c r="Q64" s="0" t="s">
        <v>81</v>
      </c>
      <c r="R64" s="0" t="s">
        <v>80</v>
      </c>
      <c r="S64" s="0" t="s">
        <v>90</v>
      </c>
    </row>
    <row r="65" customFormat="false" ht="15" hidden="false" customHeight="false" outlineLevel="0" collapsed="false">
      <c r="M65" s="0" t="n">
        <v>100</v>
      </c>
      <c r="N65" s="0" t="n">
        <v>100</v>
      </c>
      <c r="O65" s="0" t="n">
        <v>10100</v>
      </c>
      <c r="Q65" s="0" t="n">
        <v>100</v>
      </c>
      <c r="R65" s="0" t="n">
        <v>100</v>
      </c>
      <c r="S65" s="0" t="n">
        <v>10300</v>
      </c>
    </row>
    <row r="66" customFormat="false" ht="15" hidden="false" customHeight="false" outlineLevel="0" collapsed="false">
      <c r="M66" s="0" t="n">
        <v>100</v>
      </c>
      <c r="N66" s="0" t="n">
        <v>200</v>
      </c>
      <c r="O66" s="0" t="n">
        <v>16200</v>
      </c>
      <c r="Q66" s="0" t="n">
        <v>100</v>
      </c>
      <c r="R66" s="0" t="n">
        <v>200</v>
      </c>
      <c r="S66" s="0" t="n">
        <v>16700</v>
      </c>
    </row>
    <row r="67" customFormat="false" ht="15" hidden="false" customHeight="false" outlineLevel="0" collapsed="false">
      <c r="M67" s="0" t="n">
        <v>150</v>
      </c>
      <c r="N67" s="0" t="n">
        <v>200</v>
      </c>
      <c r="O67" s="0" t="n">
        <v>20000</v>
      </c>
      <c r="Q67" s="0" t="n">
        <v>150</v>
      </c>
      <c r="R67" s="0" t="n">
        <v>200</v>
      </c>
      <c r="S67" s="0" t="n">
        <v>20900</v>
      </c>
    </row>
    <row r="68" customFormat="false" ht="15" hidden="false" customHeight="false" outlineLevel="0" collapsed="false">
      <c r="M68" s="0" t="n">
        <v>200</v>
      </c>
      <c r="N68" s="0" t="n">
        <v>150</v>
      </c>
      <c r="O68" s="0" t="n">
        <v>18900</v>
      </c>
      <c r="Q68" s="0" t="n">
        <v>200</v>
      </c>
      <c r="R68" s="0" t="n">
        <v>150</v>
      </c>
      <c r="S68" s="0" t="n">
        <v>19800</v>
      </c>
    </row>
    <row r="70" customFormat="false" ht="15" hidden="false" customHeight="false" outlineLevel="0" collapsed="false">
      <c r="Q70" s="0" t="s">
        <v>81</v>
      </c>
      <c r="R70" s="0" t="s">
        <v>80</v>
      </c>
      <c r="S70" s="0" t="s">
        <v>91</v>
      </c>
    </row>
    <row r="71" customFormat="false" ht="15" hidden="false" customHeight="false" outlineLevel="0" collapsed="false">
      <c r="Q71" s="0" t="n">
        <v>100</v>
      </c>
      <c r="R71" s="0" t="n">
        <v>100</v>
      </c>
      <c r="S71" s="0" t="n">
        <v>11400</v>
      </c>
    </row>
    <row r="72" customFormat="false" ht="15" hidden="false" customHeight="false" outlineLevel="0" collapsed="false">
      <c r="Q72" s="0" t="n">
        <v>100</v>
      </c>
      <c r="R72" s="0" t="n">
        <v>200</v>
      </c>
      <c r="S72" s="0" t="n">
        <v>18500</v>
      </c>
    </row>
    <row r="73" customFormat="false" ht="15" hidden="false" customHeight="false" outlineLevel="0" collapsed="false">
      <c r="Q73" s="0" t="n">
        <v>150</v>
      </c>
      <c r="R73" s="0" t="n">
        <v>200</v>
      </c>
      <c r="S73" s="0" t="n">
        <v>22600</v>
      </c>
    </row>
    <row r="74" customFormat="false" ht="15" hidden="false" customHeight="false" outlineLevel="0" collapsed="false">
      <c r="Q74" s="0" t="n">
        <v>200</v>
      </c>
      <c r="R74" s="0" t="n">
        <v>150</v>
      </c>
      <c r="S74" s="0" t="n">
        <v>21000</v>
      </c>
    </row>
    <row r="76" customFormat="false" ht="15" hidden="false" customHeight="false" outlineLevel="0" collapsed="false">
      <c r="Q76" s="0" t="s">
        <v>84</v>
      </c>
      <c r="R76" s="0" t="s">
        <v>80</v>
      </c>
      <c r="S76" s="0" t="s">
        <v>91</v>
      </c>
    </row>
    <row r="77" customFormat="false" ht="15" hidden="false" customHeight="false" outlineLevel="0" collapsed="false">
      <c r="Q77" s="0" t="n">
        <v>100</v>
      </c>
      <c r="R77" s="0" t="n">
        <v>100</v>
      </c>
      <c r="S77" s="0" t="n">
        <v>14100</v>
      </c>
    </row>
    <row r="78" customFormat="false" ht="15" hidden="false" customHeight="false" outlineLevel="0" collapsed="false">
      <c r="Q78" s="0" t="n">
        <v>100</v>
      </c>
      <c r="R78" s="0" t="n">
        <v>200</v>
      </c>
      <c r="S78" s="0" t="n">
        <v>22700</v>
      </c>
    </row>
    <row r="79" customFormat="false" ht="15" hidden="false" customHeight="false" outlineLevel="0" collapsed="false">
      <c r="Q79" s="0" t="n">
        <v>150</v>
      </c>
      <c r="R79" s="0" t="n">
        <v>200</v>
      </c>
      <c r="S79" s="0" t="n">
        <v>27700</v>
      </c>
    </row>
    <row r="80" customFormat="false" ht="15" hidden="false" customHeight="false" outlineLevel="0" collapsed="false">
      <c r="Q80" s="0" t="n">
        <v>200</v>
      </c>
      <c r="R80" s="0" t="n">
        <v>150</v>
      </c>
      <c r="S80" s="0" t="n">
        <v>26100</v>
      </c>
    </row>
    <row r="82" customFormat="false" ht="15" hidden="false" customHeight="false" outlineLevel="0" collapsed="false">
      <c r="I82" s="0" t="s">
        <v>96</v>
      </c>
      <c r="J82" s="0" t="s">
        <v>78</v>
      </c>
      <c r="K82" s="0" t="s">
        <v>90</v>
      </c>
      <c r="M82" s="0" t="s">
        <v>96</v>
      </c>
      <c r="N82" s="0" t="s">
        <v>79</v>
      </c>
      <c r="O82" s="0" t="s">
        <v>90</v>
      </c>
      <c r="Q82" s="0" t="s">
        <v>96</v>
      </c>
      <c r="R82" s="0" t="s">
        <v>80</v>
      </c>
      <c r="S82" s="0" t="s">
        <v>90</v>
      </c>
    </row>
    <row r="83" customFormat="false" ht="15" hidden="false" customHeight="false" outlineLevel="0" collapsed="false">
      <c r="I83" s="0" t="n">
        <v>100</v>
      </c>
      <c r="J83" s="0" t="n">
        <v>100</v>
      </c>
      <c r="K83" s="0" t="n">
        <v>12000</v>
      </c>
      <c r="M83" s="0" t="n">
        <v>100</v>
      </c>
      <c r="N83" s="0" t="n">
        <v>100</v>
      </c>
      <c r="O83" s="0" t="n">
        <v>12600</v>
      </c>
      <c r="Q83" s="0" t="n">
        <v>100</v>
      </c>
      <c r="R83" s="0" t="n">
        <v>100</v>
      </c>
      <c r="S83" s="0" t="n">
        <v>12800</v>
      </c>
    </row>
    <row r="84" customFormat="false" ht="15" hidden="false" customHeight="false" outlineLevel="0" collapsed="false">
      <c r="I84" s="0" t="n">
        <v>100</v>
      </c>
      <c r="J84" s="0" t="n">
        <v>200</v>
      </c>
      <c r="K84" s="0" t="n">
        <v>18700</v>
      </c>
      <c r="M84" s="0" t="n">
        <v>100</v>
      </c>
      <c r="N84" s="0" t="n">
        <v>200</v>
      </c>
      <c r="O84" s="0" t="n">
        <v>19900</v>
      </c>
      <c r="Q84" s="0" t="n">
        <v>100</v>
      </c>
      <c r="R84" s="0" t="n">
        <v>200</v>
      </c>
      <c r="S84" s="0" t="n">
        <v>20300</v>
      </c>
    </row>
    <row r="85" customFormat="false" ht="15" hidden="false" customHeight="false" outlineLevel="0" collapsed="false">
      <c r="I85" s="0" t="n">
        <v>150</v>
      </c>
      <c r="J85" s="0" t="n">
        <v>200</v>
      </c>
      <c r="K85" s="0" t="n">
        <v>22300</v>
      </c>
      <c r="M85" s="0" t="n">
        <v>150</v>
      </c>
      <c r="N85" s="0" t="n">
        <v>200</v>
      </c>
      <c r="O85" s="0" t="n">
        <v>24200</v>
      </c>
      <c r="Q85" s="0" t="n">
        <v>150</v>
      </c>
      <c r="R85" s="0" t="n">
        <v>200</v>
      </c>
      <c r="S85" s="0" t="n">
        <v>25000</v>
      </c>
    </row>
    <row r="86" customFormat="false" ht="15" hidden="false" customHeight="false" outlineLevel="0" collapsed="false">
      <c r="I86" s="0" t="n">
        <v>200</v>
      </c>
      <c r="J86" s="0" t="n">
        <v>150</v>
      </c>
      <c r="K86" s="0" t="n">
        <v>20800</v>
      </c>
      <c r="M86" s="0" t="n">
        <v>200</v>
      </c>
      <c r="N86" s="0" t="n">
        <v>150</v>
      </c>
      <c r="O86" s="0" t="n">
        <v>22700</v>
      </c>
      <c r="Q86" s="0" t="n">
        <v>200</v>
      </c>
      <c r="R86" s="0" t="n">
        <v>150</v>
      </c>
      <c r="S86" s="0" t="n">
        <v>23500</v>
      </c>
    </row>
    <row r="88" customFormat="false" ht="15" hidden="false" customHeight="false" outlineLevel="0" collapsed="false">
      <c r="M88" s="0" t="s">
        <v>81</v>
      </c>
      <c r="N88" s="0" t="s">
        <v>79</v>
      </c>
      <c r="O88" s="0" t="s">
        <v>90</v>
      </c>
      <c r="Q88" s="0" t="s">
        <v>81</v>
      </c>
      <c r="R88" s="0" t="s">
        <v>80</v>
      </c>
      <c r="S88" s="0" t="s">
        <v>90</v>
      </c>
    </row>
    <row r="89" customFormat="false" ht="15" hidden="false" customHeight="false" outlineLevel="0" collapsed="false">
      <c r="M89" s="0" t="n">
        <v>100</v>
      </c>
      <c r="N89" s="0" t="n">
        <v>100</v>
      </c>
      <c r="O89" s="0" t="n">
        <v>13700</v>
      </c>
      <c r="Q89" s="0" t="n">
        <v>100</v>
      </c>
      <c r="R89" s="0" t="n">
        <v>100</v>
      </c>
      <c r="S89" s="0" t="n">
        <v>14000</v>
      </c>
    </row>
    <row r="90" customFormat="false" ht="15" hidden="false" customHeight="false" outlineLevel="0" collapsed="false">
      <c r="M90" s="0" t="n">
        <v>100</v>
      </c>
      <c r="N90" s="0" t="n">
        <v>200</v>
      </c>
      <c r="O90" s="0" t="n">
        <v>21800</v>
      </c>
      <c r="Q90" s="0" t="n">
        <v>100</v>
      </c>
      <c r="R90" s="0" t="n">
        <v>200</v>
      </c>
      <c r="S90" s="0" t="n">
        <v>22200</v>
      </c>
    </row>
    <row r="91" customFormat="false" ht="15" hidden="false" customHeight="false" outlineLevel="0" collapsed="false">
      <c r="M91" s="0" t="n">
        <v>150</v>
      </c>
      <c r="N91" s="0" t="n">
        <v>200</v>
      </c>
      <c r="O91" s="0" t="n">
        <v>26400</v>
      </c>
      <c r="Q91" s="0" t="n">
        <v>150</v>
      </c>
      <c r="R91" s="0" t="n">
        <v>200</v>
      </c>
      <c r="S91" s="0" t="n">
        <v>27200</v>
      </c>
    </row>
    <row r="92" customFormat="false" ht="15" hidden="false" customHeight="false" outlineLevel="0" collapsed="false">
      <c r="M92" s="0" t="n">
        <v>200</v>
      </c>
      <c r="N92" s="0" t="n">
        <v>150</v>
      </c>
      <c r="O92" s="0" t="n">
        <v>24600</v>
      </c>
      <c r="Q92" s="0" t="n">
        <v>200</v>
      </c>
      <c r="R92" s="0" t="n">
        <v>150</v>
      </c>
      <c r="S92" s="0" t="n">
        <v>25500</v>
      </c>
    </row>
    <row r="94" customFormat="false" ht="15" hidden="false" customHeight="false" outlineLevel="0" collapsed="false">
      <c r="Q94" s="0" t="s">
        <v>81</v>
      </c>
      <c r="R94" s="0" t="s">
        <v>80</v>
      </c>
      <c r="S94" s="0" t="s">
        <v>91</v>
      </c>
    </row>
    <row r="95" customFormat="false" ht="15" hidden="false" customHeight="false" outlineLevel="0" collapsed="false">
      <c r="Q95" s="0" t="n">
        <v>100</v>
      </c>
      <c r="R95" s="0" t="n">
        <v>100</v>
      </c>
      <c r="S95" s="0" t="n">
        <v>16200</v>
      </c>
    </row>
    <row r="96" customFormat="false" ht="15" hidden="false" customHeight="false" outlineLevel="0" collapsed="false">
      <c r="Q96" s="0" t="n">
        <v>100</v>
      </c>
      <c r="R96" s="0" t="n">
        <v>200</v>
      </c>
      <c r="S96" s="0" t="n">
        <v>25800</v>
      </c>
    </row>
    <row r="97" customFormat="false" ht="15" hidden="false" customHeight="false" outlineLevel="0" collapsed="false">
      <c r="Q97" s="0" t="n">
        <v>150</v>
      </c>
      <c r="R97" s="0" t="n">
        <v>200</v>
      </c>
      <c r="S97" s="0" t="n">
        <v>30800</v>
      </c>
    </row>
    <row r="98" customFormat="false" ht="15" hidden="false" customHeight="false" outlineLevel="0" collapsed="false">
      <c r="Q98" s="0" t="n">
        <v>200</v>
      </c>
      <c r="R98" s="0" t="n">
        <v>150</v>
      </c>
      <c r="S98" s="0" t="n">
        <v>28000</v>
      </c>
    </row>
    <row r="100" customFormat="false" ht="15" hidden="false" customHeight="false" outlineLevel="0" collapsed="false">
      <c r="Q100" s="0" t="s">
        <v>84</v>
      </c>
      <c r="R100" s="0" t="s">
        <v>80</v>
      </c>
      <c r="S100" s="0" t="s">
        <v>91</v>
      </c>
    </row>
    <row r="101" customFormat="false" ht="15" hidden="false" customHeight="false" outlineLevel="0" collapsed="false">
      <c r="Q101" s="0" t="n">
        <v>100</v>
      </c>
      <c r="R101" s="0" t="n">
        <v>100</v>
      </c>
      <c r="S101" s="0" t="n">
        <v>19300</v>
      </c>
    </row>
    <row r="102" customFormat="false" ht="15" hidden="false" customHeight="false" outlineLevel="0" collapsed="false">
      <c r="Q102" s="0" t="n">
        <v>100</v>
      </c>
      <c r="R102" s="0" t="n">
        <v>200</v>
      </c>
      <c r="S102" s="0" t="n">
        <v>30600</v>
      </c>
    </row>
    <row r="103" customFormat="false" ht="15" hidden="false" customHeight="false" outlineLevel="0" collapsed="false">
      <c r="Q103" s="0" t="n">
        <v>150</v>
      </c>
      <c r="R103" s="0" t="n">
        <v>200</v>
      </c>
      <c r="S103" s="0" t="n">
        <v>36600</v>
      </c>
    </row>
    <row r="104" customFormat="false" ht="15" hidden="false" customHeight="false" outlineLevel="0" collapsed="false">
      <c r="Q104" s="0" t="n">
        <v>200</v>
      </c>
      <c r="R104" s="0" t="n">
        <v>150</v>
      </c>
      <c r="S104" s="0" t="n">
        <v>33700</v>
      </c>
    </row>
    <row r="106" customFormat="false" ht="15" hidden="false" customHeight="false" outlineLevel="0" collapsed="false">
      <c r="I106" s="0" t="s">
        <v>97</v>
      </c>
      <c r="J106" s="0" t="s">
        <v>78</v>
      </c>
      <c r="M106" s="0" t="s">
        <v>97</v>
      </c>
      <c r="N106" s="0" t="s">
        <v>79</v>
      </c>
      <c r="Q106" s="0" t="s">
        <v>97</v>
      </c>
      <c r="R106" s="0" t="s">
        <v>80</v>
      </c>
    </row>
    <row r="107" customFormat="false" ht="15" hidden="false" customHeight="false" outlineLevel="0" collapsed="false">
      <c r="I107" s="0" t="n">
        <v>135</v>
      </c>
      <c r="J107" s="0" t="n">
        <v>100</v>
      </c>
      <c r="K107" s="0" t="n">
        <v>7000</v>
      </c>
      <c r="M107" s="0" t="n">
        <v>135</v>
      </c>
      <c r="N107" s="0" t="n">
        <v>100</v>
      </c>
      <c r="O107" s="0" t="n">
        <v>8100</v>
      </c>
      <c r="Q107" s="0" t="n">
        <v>135</v>
      </c>
      <c r="R107" s="0" t="n">
        <v>100</v>
      </c>
      <c r="S107" s="0" t="n">
        <v>8500</v>
      </c>
    </row>
    <row r="108" customFormat="false" ht="15" hidden="false" customHeight="false" outlineLevel="0" collapsed="false">
      <c r="I108" s="0" t="n">
        <v>135</v>
      </c>
      <c r="J108" s="0" t="n">
        <v>200</v>
      </c>
      <c r="K108" s="0" t="n">
        <v>11500</v>
      </c>
      <c r="M108" s="0" t="n">
        <v>135</v>
      </c>
      <c r="N108" s="0" t="n">
        <v>200</v>
      </c>
      <c r="O108" s="0" t="n">
        <v>13700</v>
      </c>
      <c r="Q108" s="0" t="n">
        <v>135</v>
      </c>
      <c r="R108" s="0" t="n">
        <v>200</v>
      </c>
      <c r="S108" s="0" t="n">
        <v>14500</v>
      </c>
    </row>
    <row r="109" customFormat="false" ht="15" hidden="false" customHeight="false" outlineLevel="0" collapsed="false">
      <c r="I109" s="0" t="n">
        <v>200</v>
      </c>
      <c r="J109" s="0" t="n">
        <v>135</v>
      </c>
      <c r="K109" s="0" t="n">
        <v>10500</v>
      </c>
      <c r="M109" s="0" t="n">
        <v>200</v>
      </c>
      <c r="N109" s="0" t="n">
        <v>135</v>
      </c>
      <c r="O109" s="0" t="n">
        <v>12500</v>
      </c>
      <c r="Q109" s="0" t="n">
        <v>200</v>
      </c>
      <c r="R109" s="0" t="n">
        <v>135</v>
      </c>
      <c r="S109" s="0" t="n">
        <v>13400</v>
      </c>
    </row>
    <row r="110" customFormat="false" ht="15" hidden="false" customHeight="false" outlineLevel="0" collapsed="false">
      <c r="I110" s="0" t="n">
        <v>200</v>
      </c>
      <c r="J110" s="0" t="n">
        <v>200</v>
      </c>
      <c r="K110" s="0" t="n">
        <v>14300</v>
      </c>
      <c r="M110" s="0" t="n">
        <v>200</v>
      </c>
      <c r="N110" s="0" t="n">
        <v>200</v>
      </c>
      <c r="O110" s="0" t="n">
        <v>17400</v>
      </c>
      <c r="Q110" s="0" t="n">
        <v>200</v>
      </c>
      <c r="R110" s="0" t="n">
        <v>200</v>
      </c>
      <c r="S110" s="0" t="n">
        <v>18600</v>
      </c>
    </row>
    <row r="112" customFormat="false" ht="15" hidden="false" customHeight="false" outlineLevel="0" collapsed="false">
      <c r="M112" s="0" t="s">
        <v>81</v>
      </c>
      <c r="N112" s="0" t="s">
        <v>79</v>
      </c>
      <c r="Q112" s="0" t="s">
        <v>81</v>
      </c>
      <c r="R112" s="0" t="s">
        <v>80</v>
      </c>
    </row>
    <row r="113" customFormat="false" ht="15" hidden="false" customHeight="false" outlineLevel="0" collapsed="false">
      <c r="M113" s="0" t="n">
        <v>135</v>
      </c>
      <c r="N113" s="0" t="n">
        <v>100</v>
      </c>
      <c r="O113" s="0" t="n">
        <v>8800</v>
      </c>
      <c r="Q113" s="0" t="n">
        <v>135</v>
      </c>
      <c r="R113" s="0" t="n">
        <v>100</v>
      </c>
      <c r="S113" s="0" t="n">
        <v>9200</v>
      </c>
    </row>
    <row r="114" customFormat="false" ht="15" hidden="false" customHeight="false" outlineLevel="0" collapsed="false">
      <c r="M114" s="0" t="n">
        <v>135</v>
      </c>
      <c r="N114" s="0" t="n">
        <v>200</v>
      </c>
      <c r="O114" s="0" t="n">
        <v>14700</v>
      </c>
      <c r="Q114" s="0" t="n">
        <v>135</v>
      </c>
      <c r="R114" s="0" t="n">
        <v>200</v>
      </c>
      <c r="S114" s="0" t="n">
        <v>15500</v>
      </c>
    </row>
    <row r="115" customFormat="false" ht="15" hidden="false" customHeight="false" outlineLevel="0" collapsed="false">
      <c r="M115" s="0" t="n">
        <v>200</v>
      </c>
      <c r="N115" s="0" t="n">
        <v>135</v>
      </c>
      <c r="O115" s="0" t="n">
        <v>13500</v>
      </c>
      <c r="Q115" s="0" t="n">
        <v>200</v>
      </c>
      <c r="R115" s="0" t="n">
        <v>135</v>
      </c>
      <c r="S115" s="0" t="n">
        <v>14400</v>
      </c>
    </row>
    <row r="116" customFormat="false" ht="15" hidden="false" customHeight="false" outlineLevel="0" collapsed="false">
      <c r="M116" s="0" t="n">
        <v>200</v>
      </c>
      <c r="N116" s="0" t="n">
        <v>200</v>
      </c>
      <c r="O116" s="0" t="n">
        <v>18500</v>
      </c>
      <c r="Q116" s="0" t="n">
        <v>200</v>
      </c>
      <c r="R116" s="0" t="n">
        <v>200</v>
      </c>
      <c r="S116" s="0" t="n">
        <v>19800</v>
      </c>
    </row>
    <row r="118" customFormat="false" ht="15" hidden="false" customHeight="false" outlineLevel="0" collapsed="false">
      <c r="Q118" s="0" t="s">
        <v>84</v>
      </c>
      <c r="R118" s="0" t="s">
        <v>80</v>
      </c>
    </row>
    <row r="119" customFormat="false" ht="15" hidden="false" customHeight="false" outlineLevel="0" collapsed="false">
      <c r="Q119" s="0" t="n">
        <v>135</v>
      </c>
      <c r="R119" s="0" t="n">
        <v>100</v>
      </c>
      <c r="S119" s="0" t="n">
        <v>12600</v>
      </c>
    </row>
    <row r="120" customFormat="false" ht="15" hidden="false" customHeight="false" outlineLevel="0" collapsed="false">
      <c r="Q120" s="0" t="n">
        <v>135</v>
      </c>
      <c r="R120" s="0" t="n">
        <v>200</v>
      </c>
      <c r="S120" s="0" t="n">
        <v>20600</v>
      </c>
    </row>
    <row r="121" customFormat="false" ht="15" hidden="false" customHeight="false" outlineLevel="0" collapsed="false">
      <c r="Q121" s="0" t="n">
        <v>200</v>
      </c>
      <c r="R121" s="0" t="n">
        <v>135</v>
      </c>
      <c r="S121" s="0" t="n">
        <v>19200</v>
      </c>
    </row>
    <row r="122" customFormat="false" ht="15" hidden="false" customHeight="false" outlineLevel="0" collapsed="false">
      <c r="Q122" s="0" t="n">
        <v>200</v>
      </c>
      <c r="R122" s="0" t="n">
        <v>200</v>
      </c>
      <c r="S122" s="0" t="n">
        <v>26000</v>
      </c>
    </row>
    <row r="124" customFormat="false" ht="15" hidden="false" customHeight="false" outlineLevel="0" collapsed="false">
      <c r="I124" s="0" t="s">
        <v>98</v>
      </c>
      <c r="J124" s="0" t="s">
        <v>78</v>
      </c>
      <c r="K124" s="0" t="s">
        <v>90</v>
      </c>
      <c r="M124" s="0" t="s">
        <v>98</v>
      </c>
      <c r="N124" s="0" t="s">
        <v>79</v>
      </c>
      <c r="O124" s="0" t="s">
        <v>90</v>
      </c>
      <c r="Q124" s="0" t="s">
        <v>98</v>
      </c>
      <c r="R124" s="0" t="s">
        <v>80</v>
      </c>
      <c r="S124" s="0" t="s">
        <v>90</v>
      </c>
    </row>
    <row r="125" customFormat="false" ht="15" hidden="false" customHeight="false" outlineLevel="0" collapsed="false">
      <c r="I125" s="0" t="n">
        <v>135</v>
      </c>
      <c r="J125" s="0" t="n">
        <v>100</v>
      </c>
      <c r="K125" s="0" t="n">
        <v>10400</v>
      </c>
      <c r="M125" s="0" t="n">
        <v>135</v>
      </c>
      <c r="N125" s="0" t="n">
        <v>100</v>
      </c>
      <c r="O125" s="0" t="n">
        <v>11500</v>
      </c>
      <c r="Q125" s="0" t="n">
        <v>135</v>
      </c>
      <c r="R125" s="0" t="n">
        <v>100</v>
      </c>
      <c r="S125" s="0" t="n">
        <v>11800</v>
      </c>
    </row>
    <row r="126" customFormat="false" ht="15" hidden="false" customHeight="false" outlineLevel="0" collapsed="false">
      <c r="I126" s="0" t="n">
        <v>135</v>
      </c>
      <c r="J126" s="0" t="n">
        <v>200</v>
      </c>
      <c r="K126" s="0" t="n">
        <v>16700</v>
      </c>
      <c r="M126" s="0" t="n">
        <v>135</v>
      </c>
      <c r="N126" s="0" t="n">
        <v>200</v>
      </c>
      <c r="O126" s="0" t="n">
        <v>18700</v>
      </c>
      <c r="Q126" s="0" t="n">
        <v>135</v>
      </c>
      <c r="R126" s="0" t="n">
        <v>200</v>
      </c>
      <c r="S126" s="0" t="n">
        <v>19400</v>
      </c>
    </row>
    <row r="127" customFormat="false" ht="15" hidden="false" customHeight="false" outlineLevel="0" collapsed="false">
      <c r="I127" s="0" t="n">
        <v>200</v>
      </c>
      <c r="J127" s="0" t="n">
        <v>135</v>
      </c>
      <c r="K127" s="0" t="n">
        <v>14900</v>
      </c>
      <c r="M127" s="0" t="n">
        <v>200</v>
      </c>
      <c r="N127" s="0" t="n">
        <v>135</v>
      </c>
      <c r="O127" s="0" t="n">
        <v>16800</v>
      </c>
      <c r="Q127" s="0" t="n">
        <v>200</v>
      </c>
      <c r="R127" s="0" t="n">
        <v>135</v>
      </c>
      <c r="S127" s="0" t="n">
        <v>17600</v>
      </c>
    </row>
    <row r="128" customFormat="false" ht="15" hidden="false" customHeight="false" outlineLevel="0" collapsed="false">
      <c r="I128" s="0" t="n">
        <v>200</v>
      </c>
      <c r="J128" s="0" t="n">
        <v>200</v>
      </c>
      <c r="K128" s="0" t="n">
        <v>19900</v>
      </c>
      <c r="M128" s="0" t="n">
        <v>200</v>
      </c>
      <c r="N128" s="0" t="n">
        <v>200</v>
      </c>
      <c r="O128" s="0" t="n">
        <v>22800</v>
      </c>
      <c r="Q128" s="0" t="n">
        <v>200</v>
      </c>
      <c r="R128" s="0" t="n">
        <v>200</v>
      </c>
      <c r="S128" s="0" t="n">
        <v>24000</v>
      </c>
    </row>
    <row r="130" customFormat="false" ht="15" hidden="false" customHeight="false" outlineLevel="0" collapsed="false">
      <c r="M130" s="0" t="s">
        <v>81</v>
      </c>
      <c r="N130" s="0" t="s">
        <v>79</v>
      </c>
      <c r="O130" s="0" t="s">
        <v>90</v>
      </c>
      <c r="Q130" s="0" t="s">
        <v>81</v>
      </c>
      <c r="R130" s="0" t="s">
        <v>80</v>
      </c>
      <c r="S130" s="0" t="s">
        <v>90</v>
      </c>
    </row>
    <row r="131" customFormat="false" ht="15" hidden="false" customHeight="false" outlineLevel="0" collapsed="false">
      <c r="M131" s="0" t="n">
        <v>135</v>
      </c>
      <c r="N131" s="0" t="n">
        <v>100</v>
      </c>
      <c r="O131" s="0" t="n">
        <v>12500</v>
      </c>
      <c r="Q131" s="0" t="n">
        <v>135</v>
      </c>
      <c r="R131" s="0" t="n">
        <v>100</v>
      </c>
      <c r="S131" s="0" t="n">
        <v>12800</v>
      </c>
    </row>
    <row r="132" customFormat="false" ht="15" hidden="false" customHeight="false" outlineLevel="0" collapsed="false">
      <c r="M132" s="0" t="n">
        <v>135</v>
      </c>
      <c r="N132" s="0" t="n">
        <v>200</v>
      </c>
      <c r="O132" s="0" t="n">
        <v>20300</v>
      </c>
      <c r="Q132" s="0" t="n">
        <v>135</v>
      </c>
      <c r="R132" s="0" t="n">
        <v>200</v>
      </c>
      <c r="S132" s="0" t="n">
        <v>21000</v>
      </c>
    </row>
    <row r="133" customFormat="false" ht="15" hidden="false" customHeight="false" outlineLevel="0" collapsed="false">
      <c r="M133" s="0" t="n">
        <v>200</v>
      </c>
      <c r="N133" s="0" t="n">
        <v>135</v>
      </c>
      <c r="O133" s="0" t="n">
        <v>18200</v>
      </c>
      <c r="Q133" s="0" t="n">
        <v>200</v>
      </c>
      <c r="R133" s="0" t="n">
        <v>135</v>
      </c>
      <c r="S133" s="0" t="n">
        <v>19000</v>
      </c>
    </row>
    <row r="134" customFormat="false" ht="15" hidden="false" customHeight="false" outlineLevel="0" collapsed="false">
      <c r="M134" s="0" t="n">
        <v>200</v>
      </c>
      <c r="N134" s="0" t="n">
        <v>200</v>
      </c>
      <c r="O134" s="0" t="n">
        <v>24600</v>
      </c>
      <c r="Q134" s="0" t="n">
        <v>200</v>
      </c>
      <c r="R134" s="0" t="n">
        <v>200</v>
      </c>
      <c r="S134" s="0" t="n">
        <v>25800</v>
      </c>
    </row>
    <row r="136" customFormat="false" ht="15" hidden="false" customHeight="false" outlineLevel="0" collapsed="false">
      <c r="Q136" s="0" t="s">
        <v>81</v>
      </c>
      <c r="R136" s="0" t="s">
        <v>80</v>
      </c>
      <c r="S136" s="0" t="s">
        <v>91</v>
      </c>
    </row>
    <row r="137" customFormat="false" ht="15" hidden="false" customHeight="false" outlineLevel="0" collapsed="false">
      <c r="Q137" s="0" t="n">
        <v>135</v>
      </c>
      <c r="R137" s="0" t="n">
        <v>100</v>
      </c>
      <c r="S137" s="0" t="n">
        <v>13900</v>
      </c>
    </row>
    <row r="138" customFormat="false" ht="15" hidden="false" customHeight="false" outlineLevel="0" collapsed="false">
      <c r="Q138" s="0" t="n">
        <v>135</v>
      </c>
      <c r="R138" s="0" t="n">
        <v>200</v>
      </c>
      <c r="S138" s="0" t="n">
        <v>22800</v>
      </c>
    </row>
    <row r="139" customFormat="false" ht="15" hidden="false" customHeight="false" outlineLevel="0" collapsed="false">
      <c r="Q139" s="0" t="n">
        <v>200</v>
      </c>
      <c r="R139" s="0" t="n">
        <v>135</v>
      </c>
      <c r="S139" s="0" t="n">
        <v>19900</v>
      </c>
    </row>
    <row r="140" customFormat="false" ht="15" hidden="false" customHeight="false" outlineLevel="0" collapsed="false">
      <c r="Q140" s="0" t="n">
        <v>200</v>
      </c>
      <c r="R140" s="0" t="n">
        <v>200</v>
      </c>
      <c r="S140" s="0" t="n">
        <v>27200</v>
      </c>
    </row>
    <row r="142" customFormat="false" ht="15" hidden="false" customHeight="false" outlineLevel="0" collapsed="false">
      <c r="Q142" s="0" t="s">
        <v>84</v>
      </c>
      <c r="R142" s="0" t="s">
        <v>80</v>
      </c>
      <c r="S142" s="0" t="s">
        <v>91</v>
      </c>
    </row>
    <row r="143" customFormat="false" ht="15" hidden="false" customHeight="false" outlineLevel="0" collapsed="false">
      <c r="Q143" s="0" t="n">
        <v>135</v>
      </c>
      <c r="R143" s="0" t="n">
        <v>100</v>
      </c>
      <c r="S143" s="0" t="n">
        <v>17700</v>
      </c>
    </row>
    <row r="144" customFormat="false" ht="15" hidden="false" customHeight="false" outlineLevel="0" collapsed="false">
      <c r="Q144" s="0" t="n">
        <v>135</v>
      </c>
      <c r="R144" s="0" t="n">
        <v>200</v>
      </c>
      <c r="S144" s="0" t="n">
        <v>28500</v>
      </c>
    </row>
    <row r="145" customFormat="false" ht="15" hidden="false" customHeight="false" outlineLevel="0" collapsed="false">
      <c r="Q145" s="0" t="n">
        <v>200</v>
      </c>
      <c r="R145" s="0" t="n">
        <v>135</v>
      </c>
      <c r="S145" s="0" t="n">
        <v>25300</v>
      </c>
    </row>
    <row r="146" customFormat="false" ht="15" hidden="false" customHeight="false" outlineLevel="0" collapsed="false">
      <c r="Q146" s="0" t="n">
        <v>200</v>
      </c>
      <c r="R146" s="0" t="n">
        <v>200</v>
      </c>
      <c r="S146" s="0" t="n">
        <v>34000</v>
      </c>
    </row>
    <row r="148" customFormat="false" ht="15" hidden="false" customHeight="false" outlineLevel="0" collapsed="false">
      <c r="I148" s="0" t="s">
        <v>99</v>
      </c>
      <c r="J148" s="0" t="s">
        <v>78</v>
      </c>
      <c r="K148" s="0" t="s">
        <v>90</v>
      </c>
      <c r="M148" s="0" t="s">
        <v>99</v>
      </c>
      <c r="N148" s="0" t="s">
        <v>79</v>
      </c>
      <c r="O148" s="0" t="s">
        <v>90</v>
      </c>
      <c r="Q148" s="0" t="s">
        <v>99</v>
      </c>
      <c r="R148" s="0" t="s">
        <v>80</v>
      </c>
      <c r="S148" s="0" t="s">
        <v>90</v>
      </c>
    </row>
    <row r="149" customFormat="false" ht="15" hidden="false" customHeight="false" outlineLevel="0" collapsed="false">
      <c r="I149" s="0" t="n">
        <v>135</v>
      </c>
      <c r="J149" s="0" t="n">
        <v>100</v>
      </c>
      <c r="K149" s="0" t="n">
        <v>13900</v>
      </c>
      <c r="M149" s="0" t="n">
        <v>135</v>
      </c>
      <c r="N149" s="0" t="n">
        <v>100</v>
      </c>
      <c r="O149" s="0" t="n">
        <v>14800</v>
      </c>
      <c r="Q149" s="0" t="n">
        <v>135</v>
      </c>
      <c r="R149" s="0" t="n">
        <v>100</v>
      </c>
      <c r="S149" s="0" t="n">
        <v>15100</v>
      </c>
    </row>
    <row r="150" customFormat="false" ht="15" hidden="false" customHeight="false" outlineLevel="0" collapsed="false">
      <c r="I150" s="0" t="n">
        <v>135</v>
      </c>
      <c r="J150" s="0" t="n">
        <v>200</v>
      </c>
      <c r="K150" s="0" t="n">
        <v>21800</v>
      </c>
      <c r="M150" s="0" t="n">
        <v>135</v>
      </c>
      <c r="N150" s="0" t="n">
        <v>200</v>
      </c>
      <c r="O150" s="0" t="n">
        <v>23600</v>
      </c>
      <c r="Q150" s="0" t="n">
        <v>135</v>
      </c>
      <c r="R150" s="0" t="n">
        <v>200</v>
      </c>
      <c r="S150" s="0" t="n">
        <v>24300</v>
      </c>
    </row>
    <row r="151" customFormat="false" ht="15" hidden="false" customHeight="false" outlineLevel="0" collapsed="false">
      <c r="I151" s="0" t="n">
        <v>200</v>
      </c>
      <c r="J151" s="0" t="n">
        <v>135</v>
      </c>
      <c r="K151" s="0" t="n">
        <v>18700</v>
      </c>
      <c r="M151" s="0" t="n">
        <v>200</v>
      </c>
      <c r="N151" s="0" t="n">
        <v>135</v>
      </c>
      <c r="O151" s="0" t="n">
        <v>20500</v>
      </c>
      <c r="Q151" s="0" t="n">
        <v>200</v>
      </c>
      <c r="R151" s="0" t="n">
        <v>135</v>
      </c>
      <c r="S151" s="0" t="n">
        <v>21500</v>
      </c>
    </row>
    <row r="152" customFormat="false" ht="15" hidden="false" customHeight="false" outlineLevel="0" collapsed="false">
      <c r="I152" s="0" t="n">
        <v>200</v>
      </c>
      <c r="J152" s="0" t="n">
        <v>200</v>
      </c>
      <c r="K152" s="0" t="n">
        <v>25000</v>
      </c>
      <c r="M152" s="0" t="n">
        <v>200</v>
      </c>
      <c r="N152" s="0" t="n">
        <v>200</v>
      </c>
      <c r="O152" s="0" t="n">
        <v>27700</v>
      </c>
      <c r="Q152" s="0" t="n">
        <v>200</v>
      </c>
      <c r="R152" s="0" t="n">
        <v>200</v>
      </c>
      <c r="S152" s="0" t="n">
        <v>29100</v>
      </c>
    </row>
    <row r="154" customFormat="false" ht="15" hidden="false" customHeight="false" outlineLevel="0" collapsed="false">
      <c r="M154" s="0" t="s">
        <v>81</v>
      </c>
      <c r="N154" s="0" t="s">
        <v>79</v>
      </c>
      <c r="O154" s="0" t="s">
        <v>90</v>
      </c>
      <c r="Q154" s="0" t="s">
        <v>81</v>
      </c>
      <c r="R154" s="0" t="s">
        <v>80</v>
      </c>
      <c r="S154" s="0" t="s">
        <v>90</v>
      </c>
    </row>
    <row r="155" customFormat="false" ht="15" hidden="false" customHeight="false" outlineLevel="0" collapsed="false">
      <c r="M155" s="0" t="n">
        <v>135</v>
      </c>
      <c r="N155" s="0" t="n">
        <v>100</v>
      </c>
      <c r="O155" s="0" t="n">
        <v>16100</v>
      </c>
      <c r="Q155" s="0" t="n">
        <v>135</v>
      </c>
      <c r="R155" s="0" t="n">
        <v>100</v>
      </c>
      <c r="S155" s="0" t="n">
        <v>16400</v>
      </c>
    </row>
    <row r="156" customFormat="false" ht="15" hidden="false" customHeight="false" outlineLevel="0" collapsed="false">
      <c r="M156" s="0" t="n">
        <v>135</v>
      </c>
      <c r="N156" s="0" t="n">
        <v>200</v>
      </c>
      <c r="O156" s="0" t="n">
        <v>25800</v>
      </c>
      <c r="Q156" s="0" t="n">
        <v>135</v>
      </c>
      <c r="R156" s="0" t="n">
        <v>200</v>
      </c>
      <c r="S156" s="0" t="n">
        <v>26500</v>
      </c>
    </row>
    <row r="157" customFormat="false" ht="15" hidden="false" customHeight="false" outlineLevel="0" collapsed="false">
      <c r="M157" s="0" t="n">
        <v>200</v>
      </c>
      <c r="N157" s="0" t="n">
        <v>135</v>
      </c>
      <c r="O157" s="0" t="n">
        <v>22300</v>
      </c>
      <c r="Q157" s="0" t="n">
        <v>200</v>
      </c>
      <c r="R157" s="0" t="n">
        <v>135</v>
      </c>
      <c r="S157" s="0" t="n">
        <v>23000</v>
      </c>
    </row>
    <row r="158" customFormat="false" ht="15" hidden="false" customHeight="false" outlineLevel="0" collapsed="false">
      <c r="M158" s="0" t="n">
        <v>200</v>
      </c>
      <c r="N158" s="0" t="n">
        <v>200</v>
      </c>
      <c r="O158" s="0" t="n">
        <v>30000</v>
      </c>
      <c r="Q158" s="0" t="n">
        <v>200</v>
      </c>
      <c r="R158" s="0" t="n">
        <v>200</v>
      </c>
      <c r="S158" s="0" t="n">
        <v>31200</v>
      </c>
    </row>
    <row r="160" customFormat="false" ht="15" hidden="false" customHeight="false" outlineLevel="0" collapsed="false">
      <c r="Q160" s="0" t="s">
        <v>81</v>
      </c>
      <c r="R160" s="0" t="s">
        <v>80</v>
      </c>
      <c r="S160" s="0" t="s">
        <v>91</v>
      </c>
    </row>
    <row r="161" customFormat="false" ht="15" hidden="false" customHeight="false" outlineLevel="0" collapsed="false">
      <c r="Q161" s="0" t="n">
        <v>135</v>
      </c>
      <c r="R161" s="0" t="n">
        <v>100</v>
      </c>
      <c r="S161" s="0" t="n">
        <v>18500</v>
      </c>
    </row>
    <row r="162" customFormat="false" ht="15" hidden="false" customHeight="false" outlineLevel="0" collapsed="false">
      <c r="Q162" s="0" t="n">
        <v>135</v>
      </c>
      <c r="R162" s="0" t="n">
        <v>200</v>
      </c>
      <c r="S162" s="0" t="n">
        <v>29800</v>
      </c>
    </row>
    <row r="163" customFormat="false" ht="15" hidden="false" customHeight="false" outlineLevel="0" collapsed="false">
      <c r="Q163" s="0" t="n">
        <v>200</v>
      </c>
      <c r="R163" s="0" t="n">
        <v>135</v>
      </c>
      <c r="S163" s="0" t="n">
        <v>25400</v>
      </c>
    </row>
    <row r="164" customFormat="false" ht="15" hidden="false" customHeight="false" outlineLevel="0" collapsed="false">
      <c r="Q164" s="0" t="n">
        <v>200</v>
      </c>
      <c r="R164" s="0" t="n">
        <v>200</v>
      </c>
      <c r="S164" s="0" t="n">
        <v>34400</v>
      </c>
    </row>
    <row r="166" customFormat="false" ht="15" hidden="false" customHeight="false" outlineLevel="0" collapsed="false">
      <c r="Q166" s="0" t="s">
        <v>84</v>
      </c>
      <c r="R166" s="0" t="s">
        <v>80</v>
      </c>
      <c r="S166" s="0" t="s">
        <v>91</v>
      </c>
    </row>
    <row r="167" customFormat="false" ht="15" hidden="false" customHeight="false" outlineLevel="0" collapsed="false">
      <c r="Q167" s="0" t="n">
        <v>135</v>
      </c>
      <c r="R167" s="0" t="n">
        <v>100</v>
      </c>
      <c r="S167" s="0" t="n">
        <v>22700</v>
      </c>
    </row>
    <row r="168" customFormat="false" ht="15" hidden="false" customHeight="false" outlineLevel="0" collapsed="false">
      <c r="Q168" s="0" t="n">
        <v>135</v>
      </c>
      <c r="R168" s="0" t="n">
        <v>200</v>
      </c>
      <c r="S168" s="0" t="n">
        <v>36300</v>
      </c>
    </row>
    <row r="169" customFormat="false" ht="15" hidden="false" customHeight="false" outlineLevel="0" collapsed="false">
      <c r="Q169" s="0" t="n">
        <v>200</v>
      </c>
      <c r="R169" s="0" t="n">
        <v>135</v>
      </c>
      <c r="S169" s="0" t="n">
        <v>31500</v>
      </c>
    </row>
    <row r="170" customFormat="false" ht="15" hidden="false" customHeight="false" outlineLevel="0" collapsed="false">
      <c r="Q170" s="0" t="n">
        <v>200</v>
      </c>
      <c r="R170" s="0" t="n">
        <v>200</v>
      </c>
      <c r="S170" s="0" t="n">
        <v>42100</v>
      </c>
    </row>
    <row r="172" customFormat="false" ht="15" hidden="false" customHeight="false" outlineLevel="0" collapsed="false">
      <c r="U172" s="0" t="s">
        <v>100</v>
      </c>
      <c r="V172" s="0" t="s">
        <v>101</v>
      </c>
    </row>
    <row r="173" customFormat="false" ht="15" hidden="false" customHeight="false" outlineLevel="0" collapsed="false">
      <c r="U173" s="0" t="n">
        <v>100</v>
      </c>
      <c r="V173" s="0" t="n">
        <v>100</v>
      </c>
      <c r="W173" s="0" t="n">
        <v>950</v>
      </c>
    </row>
    <row r="174" customFormat="false" ht="15" hidden="false" customHeight="false" outlineLevel="0" collapsed="false">
      <c r="U174" s="0" t="n">
        <v>100</v>
      </c>
      <c r="V174" s="0" t="n">
        <v>150</v>
      </c>
      <c r="W174" s="0" t="n">
        <v>1250</v>
      </c>
    </row>
    <row r="175" customFormat="false" ht="15" hidden="false" customHeight="false" outlineLevel="0" collapsed="false">
      <c r="U175" s="0" t="n">
        <v>100</v>
      </c>
      <c r="V175" s="0" t="n">
        <v>200</v>
      </c>
      <c r="W175" s="0" t="n">
        <v>1500</v>
      </c>
    </row>
    <row r="177" customFormat="false" ht="15" hidden="false" customHeight="false" outlineLevel="0" collapsed="false">
      <c r="U177" s="0" t="s">
        <v>102</v>
      </c>
    </row>
    <row r="178" customFormat="false" ht="15" hidden="false" customHeight="false" outlineLevel="0" collapsed="false">
      <c r="U178" s="0" t="n">
        <v>150</v>
      </c>
      <c r="V178" s="0" t="n">
        <v>1500</v>
      </c>
      <c r="W178" s="0" t="n">
        <v>450</v>
      </c>
    </row>
    <row r="180" customFormat="false" ht="15" hidden="false" customHeight="false" outlineLevel="0" collapsed="false">
      <c r="U180" s="0" t="s">
        <v>103</v>
      </c>
      <c r="W180" s="0" t="n">
        <v>1200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4" min="2" style="0" width="12"/>
    <col collapsed="false" customWidth="true" hidden="false" outlineLevel="0" max="6" min="5" style="0" width="18"/>
    <col collapsed="false" customWidth="true" hidden="false" outlineLevel="0" max="7" min="7" style="0" width="20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1" t="s">
        <v>104</v>
      </c>
    </row>
    <row r="2" customFormat="false" ht="28.35" hidden="false" customHeight="true" outlineLevel="0" collapsed="false">
      <c r="A2" s="12" t="s">
        <v>105</v>
      </c>
      <c r="B2" s="12"/>
      <c r="C2" s="12"/>
      <c r="D2" s="12"/>
      <c r="E2" s="12"/>
      <c r="F2" s="12"/>
      <c r="G2" s="12"/>
      <c r="H2" s="12"/>
    </row>
    <row r="4" customFormat="false" ht="15" hidden="false" customHeight="false" outlineLevel="0" collapsed="false">
      <c r="A4" s="13" t="s">
        <v>69</v>
      </c>
    </row>
    <row r="5" customFormat="false" ht="31.3" hidden="false" customHeight="false" outlineLevel="0" collapsed="false">
      <c r="A5" s="6" t="s">
        <v>70</v>
      </c>
      <c r="B5" s="6" t="s">
        <v>71</v>
      </c>
      <c r="C5" s="6" t="s">
        <v>72</v>
      </c>
      <c r="D5" s="6" t="s">
        <v>73</v>
      </c>
      <c r="E5" s="6" t="s">
        <v>106</v>
      </c>
      <c r="F5" s="6" t="s">
        <v>107</v>
      </c>
      <c r="G5" s="6" t="s">
        <v>108</v>
      </c>
    </row>
    <row r="6" customFormat="false" ht="16.4" hidden="false" customHeight="false" outlineLevel="0" collapsed="false">
      <c r="A6" s="7" t="n">
        <v>1</v>
      </c>
      <c r="B6" s="7" t="n">
        <v>90</v>
      </c>
      <c r="C6" s="7" t="n">
        <v>90</v>
      </c>
      <c r="D6" s="14" t="n">
        <f aca="false">B6*C6/10000</f>
        <v>0.81</v>
      </c>
      <c r="E6" s="15"/>
      <c r="F6" s="15"/>
      <c r="G6" s="15"/>
    </row>
    <row r="7" customFormat="false" ht="16.4" hidden="false" customHeight="false" outlineLevel="0" collapsed="false">
      <c r="A7" s="7" t="n">
        <v>2</v>
      </c>
      <c r="B7" s="7" t="n">
        <v>100</v>
      </c>
      <c r="C7" s="7" t="n">
        <v>110</v>
      </c>
      <c r="D7" s="14" t="n">
        <f aca="false">B7*C7/10000</f>
        <v>1.1</v>
      </c>
      <c r="E7" s="15"/>
      <c r="F7" s="15"/>
      <c r="G7" s="15"/>
    </row>
    <row r="8" customFormat="false" ht="16.4" hidden="false" customHeight="false" outlineLevel="0" collapsed="false">
      <c r="A8" s="7" t="n">
        <v>3</v>
      </c>
      <c r="B8" s="7" t="n">
        <v>120</v>
      </c>
      <c r="C8" s="7" t="n">
        <v>120</v>
      </c>
      <c r="D8" s="14" t="n">
        <f aca="false">B8*C8/10000</f>
        <v>1.44</v>
      </c>
      <c r="E8" s="15"/>
      <c r="F8" s="15"/>
      <c r="G8" s="15"/>
    </row>
    <row r="9" customFormat="false" ht="16.4" hidden="false" customHeight="false" outlineLevel="0" collapsed="false">
      <c r="A9" s="7" t="n">
        <v>4</v>
      </c>
      <c r="B9" s="7" t="n">
        <v>130</v>
      </c>
      <c r="C9" s="7" t="n">
        <v>140</v>
      </c>
      <c r="D9" s="14" t="n">
        <f aca="false">B9*C9/10000</f>
        <v>1.82</v>
      </c>
      <c r="E9" s="15"/>
      <c r="F9" s="15"/>
      <c r="G9" s="15"/>
    </row>
    <row r="10" customFormat="false" ht="16.4" hidden="false" customHeight="false" outlineLevel="0" collapsed="false">
      <c r="A10" s="7" t="n">
        <v>5</v>
      </c>
      <c r="B10" s="7" t="n">
        <v>150</v>
      </c>
      <c r="C10" s="7" t="n">
        <v>150</v>
      </c>
      <c r="D10" s="14" t="n">
        <f aca="false">B10*C10/10000</f>
        <v>2.25</v>
      </c>
      <c r="E10" s="15"/>
      <c r="F10" s="15"/>
      <c r="G10" s="15"/>
    </row>
    <row r="11" customFormat="false" ht="16.4" hidden="false" customHeight="false" outlineLevel="0" collapsed="false">
      <c r="A11" s="7" t="n">
        <v>6</v>
      </c>
      <c r="B11" s="7" t="n">
        <v>170</v>
      </c>
      <c r="C11" s="7" t="n">
        <v>160</v>
      </c>
      <c r="D11" s="14" t="n">
        <f aca="false">B11*C11/10000</f>
        <v>2.72</v>
      </c>
      <c r="E11" s="15"/>
      <c r="F11" s="15"/>
      <c r="G11" s="15"/>
    </row>
    <row r="12" customFormat="false" ht="16.4" hidden="false" customHeight="false" outlineLevel="0" collapsed="false">
      <c r="A12" s="7" t="n">
        <v>7</v>
      </c>
      <c r="B12" s="7" t="n">
        <v>200</v>
      </c>
      <c r="C12" s="7" t="n">
        <v>150</v>
      </c>
      <c r="D12" s="14" t="n">
        <f aca="false">B12*C12/10000</f>
        <v>3</v>
      </c>
      <c r="E12" s="15"/>
      <c r="F12" s="15"/>
      <c r="G12" s="15"/>
    </row>
    <row r="13" customFormat="false" ht="31.3" hidden="false" customHeight="false" outlineLevel="0" collapsed="false">
      <c r="A13" s="7"/>
      <c r="B13" s="7"/>
      <c r="C13" s="7"/>
      <c r="D13" s="16" t="s">
        <v>82</v>
      </c>
      <c r="E13" s="8" t="e">
        <f aca="false">SLOPE($E$6:$E$12,$D$6:$D$12)</f>
        <v>#VALUE!</v>
      </c>
      <c r="F13" s="8" t="e">
        <f aca="false">SLOPE($F$6:$F$12,$D$6:$D$12)</f>
        <v>#VALUE!</v>
      </c>
      <c r="G13" s="8" t="e">
        <f aca="false">SLOPE($G$6:$G$12,$D$6:$D$12)</f>
        <v>#VALUE!</v>
      </c>
    </row>
    <row r="14" customFormat="false" ht="46.25" hidden="false" customHeight="false" outlineLevel="0" collapsed="false">
      <c r="A14" s="7"/>
      <c r="B14" s="7"/>
      <c r="C14" s="7"/>
      <c r="D14" s="16" t="s">
        <v>83</v>
      </c>
      <c r="E14" s="8" t="e">
        <f aca="false">INTERCEPT($E$6:$E$12,$D$6:$D$12)</f>
        <v>#VALUE!</v>
      </c>
      <c r="F14" s="8" t="e">
        <f aca="false">INTERCEPT($F$6:$F$12,$D$6:$D$12)</f>
        <v>#VALUE!</v>
      </c>
      <c r="G14" s="8" t="e">
        <f aca="false">INTERCEPT($G$6:$G$12,$D$6:$D$12)</f>
        <v>#VALUE!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1" t="s">
        <v>109</v>
      </c>
    </row>
    <row r="2" customFormat="false" ht="28.35" hidden="false" customHeight="true" outlineLevel="0" collapsed="false">
      <c r="A2" s="12" t="s">
        <v>110</v>
      </c>
      <c r="B2" s="12"/>
      <c r="C2" s="12"/>
      <c r="D2" s="12"/>
      <c r="E2" s="12"/>
    </row>
    <row r="4" customFormat="false" ht="16.4" hidden="false" customHeight="false" outlineLevel="0" collapsed="false">
      <c r="A4" s="6" t="s">
        <v>111</v>
      </c>
      <c r="B4" s="6" t="s">
        <v>112</v>
      </c>
      <c r="C4" s="6" t="s">
        <v>113</v>
      </c>
      <c r="D4" s="6" t="s">
        <v>114</v>
      </c>
      <c r="E4" s="6" t="s">
        <v>115</v>
      </c>
    </row>
    <row r="5" customFormat="false" ht="16.4" hidden="false" customHeight="false" outlineLevel="0" collapsed="false">
      <c r="A5" s="7" t="s">
        <v>116</v>
      </c>
      <c r="B5" s="15"/>
      <c r="C5" s="15"/>
      <c r="D5" s="15"/>
      <c r="E5" s="17" t="n">
        <v>1</v>
      </c>
    </row>
    <row r="6" customFormat="false" ht="16.4" hidden="false" customHeight="false" outlineLevel="0" collapsed="false">
      <c r="A6" s="7" t="s">
        <v>117</v>
      </c>
      <c r="B6" s="15"/>
      <c r="C6" s="15"/>
      <c r="D6" s="15"/>
      <c r="E6" s="17" t="n">
        <f aca="false">IFERROR(AVERAGE(B6/B5,C6/C5,D6/D5),1)</f>
        <v>1</v>
      </c>
    </row>
    <row r="7" customFormat="false" ht="16.4" hidden="false" customHeight="false" outlineLevel="0" collapsed="false">
      <c r="A7" s="7" t="s">
        <v>118</v>
      </c>
      <c r="B7" s="15"/>
      <c r="C7" s="15"/>
      <c r="D7" s="15"/>
      <c r="E7" s="17" t="n">
        <f aca="false">IFERROR(AVERAGE(B7/B5,C7/C5,D7/D5),1)</f>
        <v>1</v>
      </c>
    </row>
    <row r="8" customFormat="false" ht="16.4" hidden="false" customHeight="false" outlineLevel="0" collapsed="false">
      <c r="A8" s="7" t="s">
        <v>119</v>
      </c>
      <c r="B8" s="15"/>
      <c r="C8" s="15"/>
      <c r="D8" s="15"/>
      <c r="E8" s="17" t="n">
        <f aca="false">IFERROR(AVERAGE(B8/B5,C8/C5,D8/D5),1)</f>
        <v>1</v>
      </c>
    </row>
    <row r="9" customFormat="false" ht="16.4" hidden="false" customHeight="false" outlineLevel="0" collapsed="false">
      <c r="A9" s="7" t="s">
        <v>120</v>
      </c>
      <c r="B9" s="15"/>
      <c r="C9" s="15"/>
      <c r="D9" s="15"/>
      <c r="E9" s="17" t="n">
        <f aca="false">IFERROR(AVERAGE(B9/B5,C9/C5,D9/D5),1)</f>
        <v>1</v>
      </c>
    </row>
  </sheetData>
  <mergeCells count="1"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1" t="s">
        <v>121</v>
      </c>
    </row>
    <row r="2" customFormat="false" ht="28.35" hidden="false" customHeight="true" outlineLevel="0" collapsed="false">
      <c r="A2" s="12" t="s">
        <v>122</v>
      </c>
      <c r="B2" s="12"/>
      <c r="C2" s="12"/>
    </row>
    <row r="4" customFormat="false" ht="16.4" hidden="false" customHeight="false" outlineLevel="0" collapsed="false">
      <c r="A4" s="6" t="s">
        <v>123</v>
      </c>
      <c r="B4" s="6" t="s">
        <v>124</v>
      </c>
      <c r="C4" s="6" t="s">
        <v>125</v>
      </c>
    </row>
    <row r="5" customFormat="false" ht="16.4" hidden="false" customHeight="false" outlineLevel="0" collapsed="false">
      <c r="A5" s="7" t="s">
        <v>126</v>
      </c>
      <c r="B5" s="15"/>
      <c r="C5" s="8" t="n">
        <v>0</v>
      </c>
    </row>
    <row r="6" customFormat="false" ht="16.4" hidden="false" customHeight="false" outlineLevel="0" collapsed="false">
      <c r="A6" s="7" t="s">
        <v>127</v>
      </c>
      <c r="B6" s="15"/>
      <c r="C6" s="8" t="n">
        <f aca="false">B6-B5</f>
        <v>0</v>
      </c>
    </row>
    <row r="7" customFormat="false" ht="16.4" hidden="false" customHeight="false" outlineLevel="0" collapsed="false">
      <c r="A7" s="7" t="s">
        <v>128</v>
      </c>
      <c r="B7" s="15"/>
      <c r="C7" s="8" t="n">
        <f aca="false">B7-B5</f>
        <v>0</v>
      </c>
    </row>
    <row r="8" customFormat="false" ht="16.4" hidden="false" customHeight="false" outlineLevel="0" collapsed="false">
      <c r="A8" s="7" t="s">
        <v>129</v>
      </c>
      <c r="B8" s="15"/>
      <c r="C8" s="18" t="str">
        <f aca="false">IF(ABS(B8-(B5+2*C7))&lt;=B5*0.02,"аддитивно OK","проверить!")</f>
        <v>аддитивно OK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1" t="s">
        <v>130</v>
      </c>
    </row>
    <row r="2" customFormat="false" ht="15" hidden="false" customHeight="true" outlineLevel="0" collapsed="false">
      <c r="A2" s="12" t="s">
        <v>131</v>
      </c>
      <c r="B2" s="12"/>
      <c r="C2" s="12"/>
    </row>
    <row r="4" customFormat="false" ht="16.4" hidden="false" customHeight="false" outlineLevel="0" collapsed="false">
      <c r="A4" s="6" t="s">
        <v>132</v>
      </c>
      <c r="B4" s="6" t="s">
        <v>124</v>
      </c>
      <c r="C4" s="6" t="s">
        <v>133</v>
      </c>
    </row>
    <row r="5" customFormat="false" ht="16.4" hidden="false" customHeight="false" outlineLevel="0" collapsed="false">
      <c r="A5" s="7" t="s">
        <v>134</v>
      </c>
      <c r="B5" s="15"/>
      <c r="C5" s="8" t="n">
        <v>0</v>
      </c>
    </row>
    <row r="6" customFormat="false" ht="16.4" hidden="false" customHeight="false" outlineLevel="0" collapsed="false">
      <c r="A6" s="7" t="s">
        <v>135</v>
      </c>
      <c r="B6" s="15"/>
      <c r="C6" s="8" t="n">
        <f aca="false">B6-B5</f>
        <v>0</v>
      </c>
    </row>
    <row r="7" customFormat="false" ht="16.4" hidden="false" customHeight="false" outlineLevel="0" collapsed="false">
      <c r="A7" s="7" t="s">
        <v>136</v>
      </c>
      <c r="B7" s="15"/>
      <c r="C7" s="8" t="n">
        <f aca="false">B7-B5</f>
        <v>0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0"/>
  </cols>
  <sheetData>
    <row r="1" customFormat="false" ht="17.35" hidden="false" customHeight="false" outlineLevel="0" collapsed="false">
      <c r="A1" s="11" t="s">
        <v>137</v>
      </c>
    </row>
    <row r="2" customFormat="false" ht="28.35" hidden="false" customHeight="true" outlineLevel="0" collapsed="false">
      <c r="A2" s="12" t="s">
        <v>138</v>
      </c>
      <c r="B2" s="12"/>
      <c r="C2" s="12"/>
    </row>
    <row r="4" customFormat="false" ht="31.3" hidden="false" customHeight="false" outlineLevel="0" collapsed="false">
      <c r="A4" s="6" t="s">
        <v>139</v>
      </c>
      <c r="B4" s="6" t="s">
        <v>140</v>
      </c>
      <c r="C4" s="6" t="s">
        <v>133</v>
      </c>
    </row>
    <row r="5" customFormat="false" ht="16.4" hidden="false" customHeight="false" outlineLevel="0" collapsed="false">
      <c r="A5" s="7" t="s">
        <v>141</v>
      </c>
      <c r="B5" s="15"/>
      <c r="C5" s="7"/>
    </row>
    <row r="6" customFormat="false" ht="16.4" hidden="false" customHeight="false" outlineLevel="0" collapsed="false">
      <c r="A6" s="7" t="s">
        <v>142</v>
      </c>
      <c r="B6" s="15"/>
      <c r="C6" s="8" t="n">
        <f aca="false">B6-B5</f>
        <v>0</v>
      </c>
    </row>
    <row r="7" customFormat="false" ht="16.4" hidden="false" customHeight="false" outlineLevel="0" collapsed="false">
      <c r="A7" s="7" t="s">
        <v>143</v>
      </c>
      <c r="B7" s="15"/>
      <c r="C7" s="8" t="n">
        <f aca="false">B7-B5</f>
        <v>0</v>
      </c>
    </row>
    <row r="8" customFormat="false" ht="16.4" hidden="false" customHeight="false" outlineLevel="0" collapsed="false">
      <c r="A8" s="7" t="s">
        <v>144</v>
      </c>
      <c r="B8" s="15"/>
      <c r="C8" s="8" t="n">
        <f aca="false">B8-B5</f>
        <v>0</v>
      </c>
    </row>
    <row r="9" customFormat="false" ht="16.4" hidden="false" customHeight="false" outlineLevel="0" collapsed="false">
      <c r="A9" s="7" t="s">
        <v>145</v>
      </c>
      <c r="B9" s="15"/>
      <c r="C9" s="8" t="n">
        <f aca="false">B9-B5</f>
        <v>0</v>
      </c>
    </row>
  </sheetData>
  <mergeCells count="1"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2026-07-06T20:58:52Z</dcterms:created>
  <dc:creator>openpyxl</dc:creator>
  <dc:description/>
  <dc:language>ru-RU</dc:language>
  <cp:lastModifiedBy/>
  <dcterms:modified xsi:type="dcterms:W3CDTF">2026-07-20T13:37:35Z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